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Procedure Cost Cards" sheetId="1" state="visible" r:id="rId1"/>
    <sheet xmlns:r="http://schemas.openxmlformats.org/officeDocument/2006/relationships" name="Clinical Pathw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sz val="9"/>
    </font>
    <font>
      <name val="Arial"/>
      <family val="2"/>
      <color rgb="FFFF0000"/>
      <sz val="10"/>
    </font>
    <font>
      <name val="Arial"/>
      <family val="2"/>
      <sz val="9"/>
    </font>
    <font>
      <name val="Arial"/>
      <family val="2"/>
      <b val="1"/>
      <color rgb="FFFFFFFF"/>
      <sz val="9"/>
    </font>
    <font>
      <b val="1"/>
      <color rgb="00FFFFFF"/>
      <sz val="10"/>
    </font>
    <font>
      <b val="1"/>
      <color rgb="001A5276"/>
      <sz val="9"/>
    </font>
    <font>
      <i val="1"/>
      <color rgb="001A5276"/>
      <sz val="9"/>
    </font>
    <font>
      <b val="1"/>
      <color rgb="007D6608"/>
      <sz val="9"/>
    </font>
    <font>
      <i val="1"/>
      <color rgb="007D6608"/>
      <sz val="9"/>
    </font>
  </fonts>
  <fills count="1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DEEFF"/>
        <bgColor rgb="FFDDEEFF"/>
      </patternFill>
    </fill>
    <fill>
      <patternFill patternType="solid">
        <fgColor rgb="FFFFE5CC"/>
        <bgColor rgb="FFFFE5CC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7F7F7"/>
        <bgColor rgb="FFF7F7F7"/>
      </patternFill>
    </fill>
    <fill>
      <patternFill patternType="solid">
        <fgColor rgb="FFFFDDDD"/>
        <bgColor rgb="FFFFDDDD"/>
      </patternFill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AED6F1"/>
      </left>
      <right style="thin">
        <color rgb="00AED6F1"/>
      </right>
      <top style="thin">
        <color rgb="00AED6F1"/>
      </top>
      <bottom style="thin">
        <color rgb="00AED6F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 wrapText="1"/>
    </xf>
    <xf numFmtId="0" fontId="2" fillId="1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tabSelected="1" zoomScale="79" zoomScaleNormal="25" workbookViewId="0">
      <pane ySplit="1" topLeftCell="A2" activePane="bottomLeft" state="frozen"/>
      <selection pane="bottomLeft" activeCell="P2" sqref="P2"/>
    </sheetView>
  </sheetViews>
  <sheetFormatPr baseColWidth="8" defaultRowHeight="14.4"/>
  <cols>
    <col width="22" customWidth="1" min="1" max="1"/>
    <col width="25" customWidth="1" min="2" max="2"/>
    <col width="28" customWidth="1" min="3" max="3"/>
    <col width="18" customWidth="1" min="4" max="4"/>
    <col width="8" customWidth="1" min="5" max="5"/>
    <col width="14" customWidth="1" min="6" max="8"/>
    <col width="13" customWidth="1" min="9" max="11"/>
    <col width="15" customWidth="1" min="12" max="12"/>
    <col width="14" customWidth="1" min="13" max="16"/>
    <col width="71.77734375" customWidth="1" min="17" max="17"/>
    <col width="35" customWidth="1" min="18" max="18"/>
    <col width="22" customWidth="1" min="19" max="19"/>
    <col width="45" customWidth="1" min="20" max="20"/>
    <col width="22" customWidth="1" min="21" max="21"/>
    <col width="45" customWidth="1" min="22" max="22"/>
  </cols>
  <sheetData>
    <row r="1" ht="24" customHeight="1">
      <c r="A1" s="18" t="inlineStr">
        <is>
          <t>Procedure</t>
        </is>
      </c>
      <c r="B1" s="1" t="inlineStr">
        <is>
          <t>Sub-Procedure</t>
        </is>
      </c>
      <c r="C1" s="1" t="inlineStr">
        <is>
          <t>Clinical Variant</t>
        </is>
      </c>
      <c r="D1" s="1" t="inlineStr">
        <is>
          <t>Tech Type</t>
        </is>
      </c>
      <c r="E1" s="1" t="inlineStr">
        <is>
          <t>LOS Days</t>
        </is>
      </c>
      <c r="F1" s="18" t="inlineStr">
        <is>
          <t>Room Charges General (INR)</t>
        </is>
      </c>
      <c r="G1" s="1" t="inlineStr">
        <is>
          <t>Room Charges Semi-Pvt (INR)</t>
        </is>
      </c>
      <c r="H1" s="1" t="inlineStr">
        <is>
          <t>Room Charges Pvt (INR)</t>
        </is>
      </c>
      <c r="I1" s="1" t="inlineStr">
        <is>
          <t>ICU Charges (INR)</t>
        </is>
      </c>
      <c r="J1" s="1" t="inlineStr">
        <is>
          <t>Ventilator Charges (INR)</t>
        </is>
      </c>
      <c r="K1" s="1" t="inlineStr">
        <is>
          <t>ICU _Days</t>
        </is>
      </c>
      <c r="L1" s="18" t="inlineStr">
        <is>
          <t>BASE</t>
        </is>
      </c>
      <c r="M1" s="18" t="inlineStr">
        <is>
          <t>IMPLANT</t>
        </is>
      </c>
      <c r="N1" s="18" t="inlineStr">
        <is>
          <t>TECH</t>
        </is>
      </c>
      <c r="O1" s="18" t="inlineStr">
        <is>
          <t>TOTAL</t>
        </is>
      </c>
      <c r="P1" s="18" t="n"/>
      <c r="Q1" s="1" t="inlineStr">
        <is>
          <t>Technology Cost Note</t>
        </is>
      </c>
      <c r="R1" s="1" t="inlineStr">
        <is>
          <t>Clinical Notes</t>
        </is>
      </c>
      <c r="S1" s="20" t="inlineStr">
        <is>
          <t>ICD-10 Primary Code</t>
        </is>
      </c>
      <c r="T1" s="20" t="inlineStr">
        <is>
          <t>ICD-10 Primary Description</t>
        </is>
      </c>
      <c r="U1" s="20" t="inlineStr">
        <is>
          <t>ICD-10 Secondary Code</t>
        </is>
      </c>
      <c r="V1" s="20" t="inlineStr">
        <is>
          <t>ICD-10 Secondary / Clinical Note</t>
        </is>
      </c>
    </row>
    <row r="2" ht="30" customHeight="1">
      <c r="A2" s="3" t="inlineStr">
        <is>
          <t>Knee Replacement</t>
        </is>
      </c>
      <c r="B2" s="3" t="inlineStr">
        <is>
          <t>TKR Unilateral</t>
        </is>
      </c>
      <c r="C2" s="3" t="inlineStr">
        <is>
          <t>Standard CoCr Implant</t>
        </is>
      </c>
      <c r="D2" s="3" t="inlineStr">
        <is>
          <t>Open</t>
        </is>
      </c>
      <c r="E2" s="4" t="n">
        <v>5</v>
      </c>
      <c r="F2" s="4" t="n">
        <v>10000</v>
      </c>
      <c r="G2" s="4" t="n">
        <v>20000</v>
      </c>
      <c r="H2" s="4" t="n">
        <v>40000</v>
      </c>
      <c r="I2" s="4" t="n">
        <v>0</v>
      </c>
      <c r="J2" s="4" t="n">
        <v>0</v>
      </c>
      <c r="K2" s="4" t="n">
        <v>0</v>
      </c>
      <c r="L2" s="4" t="n">
        <v>60000</v>
      </c>
      <c r="M2" s="4" t="n">
        <v>65000</v>
      </c>
      <c r="N2" s="4" t="n">
        <v>0</v>
      </c>
      <c r="O2" s="4">
        <f>SUM(L2:N2)</f>
        <v/>
      </c>
      <c r="P2" s="4" t="n"/>
      <c r="Q2" s="3" t="inlineStr">
        <is>
          <t>No tech premium; CoCr implant cost verified per market avg</t>
        </is>
      </c>
      <c r="R2" s="3" t="inlineStr">
        <is>
          <t>CoCr Femoral+Tibial+Insert. Physio 4 sessions. Drain Day 2.</t>
        </is>
      </c>
      <c r="S2" s="21" t="inlineStr">
        <is>
          <t>M17.10</t>
        </is>
      </c>
      <c r="T2" s="22" t="inlineStr">
        <is>
          <t>Primary osteoarthritis, unspecified knee (unilateral)</t>
        </is>
      </c>
      <c r="U2" s="23" t="inlineStr">
        <is>
          <t>Z96.651</t>
        </is>
      </c>
      <c r="V2" s="24" t="inlineStr">
        <is>
          <t>Implant: right prosthetic knee (or Z96.652 left)</t>
        </is>
      </c>
    </row>
    <row r="3" ht="30" customHeight="1">
      <c r="A3" s="3" t="inlineStr">
        <is>
          <t>Knee Replacement</t>
        </is>
      </c>
      <c r="B3" s="3" t="inlineStr">
        <is>
          <t>TKR Bilateral</t>
        </is>
      </c>
      <c r="C3" s="3" t="inlineStr">
        <is>
          <t>Standard CoCr - Both Knees Simultaneous</t>
        </is>
      </c>
      <c r="D3" s="3" t="inlineStr">
        <is>
          <t>Open</t>
        </is>
      </c>
      <c r="E3" s="4" t="n">
        <v>7</v>
      </c>
      <c r="F3" s="4" t="n">
        <v>14000</v>
      </c>
      <c r="G3" s="4" t="n">
        <v>28000</v>
      </c>
      <c r="H3" s="4" t="n">
        <v>56000</v>
      </c>
      <c r="I3" s="4" t="n">
        <v>5400</v>
      </c>
      <c r="J3" s="4" t="n">
        <v>0</v>
      </c>
      <c r="K3" s="4" t="n">
        <v>1</v>
      </c>
      <c r="L3" s="4" t="n">
        <v>105000</v>
      </c>
      <c r="M3" s="4" t="n">
        <v>125000</v>
      </c>
      <c r="N3" s="4" t="n">
        <v>0</v>
      </c>
      <c r="O3" s="4">
        <f>SUM(L3:N3)</f>
        <v/>
      </c>
      <c r="P3" s="4" t="n"/>
      <c r="Q3" s="3" t="inlineStr">
        <is>
          <t>No tech premium; bilateral implant = 2x CoCr set</t>
        </is>
      </c>
      <c r="R3" s="3" t="inlineStr">
        <is>
          <t>ICU 1 day. Blood transfusion likely. Pre-auth mandatory.</t>
        </is>
      </c>
      <c r="S3" s="21" t="inlineStr">
        <is>
          <t>M17.0</t>
        </is>
      </c>
      <c r="T3" s="22" t="inlineStr">
        <is>
          <t>Bilateral primary osteoarthritis of knee</t>
        </is>
      </c>
      <c r="U3" s="23" t="inlineStr">
        <is>
          <t>Z96.653</t>
        </is>
      </c>
      <c r="V3" s="24" t="inlineStr">
        <is>
          <t>Presence of bilateral artificial knee joints</t>
        </is>
      </c>
    </row>
    <row r="4" ht="30" customHeight="1">
      <c r="A4" s="3" t="inlineStr">
        <is>
          <t>Hip Replacement</t>
        </is>
      </c>
      <c r="B4" s="3" t="inlineStr">
        <is>
          <t>Total Hip Replacement (THR)</t>
        </is>
      </c>
      <c r="C4" s="16" t="inlineStr">
        <is>
          <t>MoP or CoP</t>
        </is>
      </c>
      <c r="D4" s="3" t="inlineStr">
        <is>
          <t>Open</t>
        </is>
      </c>
      <c r="E4" s="4" t="n">
        <v>6</v>
      </c>
      <c r="F4" s="4" t="n">
        <v>12000</v>
      </c>
      <c r="G4" s="4" t="n">
        <v>24000</v>
      </c>
      <c r="H4" s="4" t="n">
        <v>48000</v>
      </c>
      <c r="I4" s="4" t="n">
        <v>0</v>
      </c>
      <c r="J4" s="4" t="n">
        <v>0</v>
      </c>
      <c r="K4" s="4" t="n">
        <v>0</v>
      </c>
      <c r="L4" s="4" t="n">
        <v>50000</v>
      </c>
      <c r="M4" s="4" t="n">
        <v>140000</v>
      </c>
      <c r="N4" s="4" t="n">
        <v>0</v>
      </c>
      <c r="O4" s="4">
        <f>SUM(L4:N4)</f>
        <v/>
      </c>
      <c r="P4" s="4" t="n"/>
      <c r="Q4" s="3" t="inlineStr">
        <is>
          <t>THR implant verified IMOR20 = 40000+GST; avg with cup/stem/head = 85000</t>
        </is>
      </c>
      <c r="R4" s="3" t="inlineStr">
        <is>
          <t>DVT prophylaxis mandatory (LMWH). Hip precautions 6 weeks.</t>
        </is>
      </c>
      <c r="S4" s="21" t="inlineStr">
        <is>
          <t>M16.10</t>
        </is>
      </c>
      <c r="T4" s="22" t="inlineStr">
        <is>
          <t>Primary osteoarthritis, unspecified hip (unilateral)</t>
        </is>
      </c>
      <c r="U4" s="23" t="inlineStr">
        <is>
          <t>Z96.641</t>
        </is>
      </c>
      <c r="V4" s="24" t="inlineStr">
        <is>
          <t>Implant: right prosthetic hip (or Z96.642 left)</t>
        </is>
      </c>
    </row>
    <row r="5" ht="30" customHeight="1">
      <c r="A5" s="3" t="inlineStr">
        <is>
          <t xml:space="preserve">Hip Replacement </t>
        </is>
      </c>
      <c r="B5" s="3" t="inlineStr">
        <is>
          <t>THR Bilateral</t>
        </is>
      </c>
      <c r="C5" s="16" t="inlineStr">
        <is>
          <t>MoP or CoP</t>
        </is>
      </c>
      <c r="D5" s="3" t="inlineStr">
        <is>
          <t>Open</t>
        </is>
      </c>
      <c r="E5" s="4" t="n">
        <v>7</v>
      </c>
      <c r="F5" s="4" t="n">
        <v>14000</v>
      </c>
      <c r="G5" s="4" t="n">
        <v>28000</v>
      </c>
      <c r="H5" s="4" t="n">
        <v>56000</v>
      </c>
      <c r="I5" s="4" t="n">
        <v>10400</v>
      </c>
      <c r="J5" s="4" t="n">
        <v>0</v>
      </c>
      <c r="K5" s="4" t="n">
        <v>2</v>
      </c>
      <c r="L5" s="4" t="n">
        <v>85000</v>
      </c>
      <c r="M5" s="4" t="n">
        <v>280000</v>
      </c>
      <c r="N5" s="4" t="n">
        <v>0</v>
      </c>
      <c r="O5" s="4">
        <f>SUM(L5:N5)</f>
        <v/>
      </c>
      <c r="P5" s="4" t="n"/>
      <c r="Q5" s="3" t="n"/>
      <c r="R5" s="3" t="n"/>
      <c r="S5" s="21" t="inlineStr">
        <is>
          <t>M16.0</t>
        </is>
      </c>
      <c r="T5" s="22" t="inlineStr">
        <is>
          <t>Bilateral primary osteoarthritis of hip</t>
        </is>
      </c>
      <c r="U5" s="23" t="inlineStr">
        <is>
          <t>Z96.643</t>
        </is>
      </c>
      <c r="V5" s="24" t="inlineStr">
        <is>
          <t>Presence of bilateral artificial hip joints</t>
        </is>
      </c>
    </row>
    <row r="6" ht="30" customHeight="1">
      <c r="A6" s="17" t="inlineStr">
        <is>
          <t>Cataract Surgery</t>
        </is>
      </c>
      <c r="B6" s="3" t="inlineStr">
        <is>
          <t>Phacoemulsification</t>
        </is>
      </c>
      <c r="C6" s="17" t="inlineStr">
        <is>
          <t>Monofocal IOL - Single Eye</t>
        </is>
      </c>
      <c r="D6" s="3" t="inlineStr">
        <is>
          <t>Open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20200</v>
      </c>
      <c r="M6" s="4" t="n">
        <v>10000</v>
      </c>
      <c r="N6" s="4" t="n">
        <v>0</v>
      </c>
      <c r="O6" s="4">
        <f>SUM(L6:N6)</f>
        <v/>
      </c>
      <c r="P6" s="4" t="n"/>
      <c r="Q6" s="3" t="inlineStr">
        <is>
          <t>CGHS OP100 Phaco foldable IOL = 14535 (updated from OP098 11457); Monofocal IOL avg 4500</t>
        </is>
      </c>
      <c r="R6" s="3" t="inlineStr">
        <is>
          <t>Day care. Topical drops 4 weeks post-op. LA. Biometry pre-op.</t>
        </is>
      </c>
      <c r="S6" s="21" t="inlineStr">
        <is>
          <t>H25.10</t>
        </is>
      </c>
      <c r="T6" s="22" t="inlineStr">
        <is>
          <t>Age-related nuclear cataract, unspecified eye</t>
        </is>
      </c>
      <c r="U6" s="23" t="inlineStr">
        <is>
          <t>Z96.1</t>
        </is>
      </c>
      <c r="V6" s="24" t="inlineStr">
        <is>
          <t>Presence of intraocular lens (post-op status)</t>
        </is>
      </c>
    </row>
    <row r="7" ht="30" customHeight="1">
      <c r="A7" s="3" t="inlineStr">
        <is>
          <t>Cataract Surgery</t>
        </is>
      </c>
      <c r="B7" s="3" t="inlineStr">
        <is>
          <t>Phacoemulsification</t>
        </is>
      </c>
      <c r="C7" s="17" t="inlineStr">
        <is>
          <t>Toric IOL - Astigmatism Correction</t>
        </is>
      </c>
      <c r="D7" s="3" t="inlineStr">
        <is>
          <t>Laser-Assisted</t>
        </is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23700</v>
      </c>
      <c r="M7" s="4" t="n">
        <v>38000</v>
      </c>
      <c r="N7" s="4" t="n">
        <v>15000</v>
      </c>
      <c r="O7" s="4">
        <f>SUM(L7:N7)</f>
        <v/>
      </c>
      <c r="P7" s="4" t="n"/>
      <c r="Q7" s="3" t="inlineStr">
        <is>
          <t>Toric IOL avg 18000-26000 = 22000; procedure CGHS OP100 = 14535</t>
        </is>
      </c>
      <c r="R7" s="3" t="inlineStr">
        <is>
          <t>Toric corrects &gt;1D astigmatism. Corneal topography mandatory pre-op.</t>
        </is>
      </c>
      <c r="S7" s="21" t="inlineStr">
        <is>
          <t>H25.10</t>
        </is>
      </c>
      <c r="T7" s="22" t="inlineStr">
        <is>
          <t>Age-related nuclear cataract, unspecified eye</t>
        </is>
      </c>
      <c r="U7" s="23" t="inlineStr">
        <is>
          <t>H52.219</t>
        </is>
      </c>
      <c r="V7" s="24" t="inlineStr">
        <is>
          <t>Regular astigmatism, unspecified eye (additional diagnosis)</t>
        </is>
      </c>
    </row>
    <row r="8" ht="30" customHeight="1">
      <c r="A8" s="3" t="inlineStr">
        <is>
          <t>Cataract Surgery</t>
        </is>
      </c>
      <c r="B8" s="3" t="inlineStr">
        <is>
          <t>Phacoemulsification</t>
        </is>
      </c>
      <c r="C8" s="17" t="inlineStr">
        <is>
          <t>Premium Multifocal/EDOF IOL</t>
        </is>
      </c>
      <c r="D8" s="3" t="inlineStr">
        <is>
          <t>Laser-Assisted</t>
        </is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28500</v>
      </c>
      <c r="M8" s="4" t="n">
        <v>75000</v>
      </c>
      <c r="N8" s="4" t="n">
        <v>35000</v>
      </c>
      <c r="O8" s="4">
        <f>SUM(L8:N8)</f>
        <v/>
      </c>
      <c r="P8" s="4" t="n"/>
      <c r="Q8" s="3" t="inlineStr">
        <is>
          <t>EDOF/Multifocal IOL avg 40000-55000 = 45000; significant OOP above CGHS ceiling</t>
        </is>
      </c>
      <c r="R8" s="3" t="inlineStr">
        <is>
          <t>Spectacle independence. OCT macula pre-op mandatory.</t>
        </is>
      </c>
      <c r="S8" s="21" t="inlineStr">
        <is>
          <t>H25.10</t>
        </is>
      </c>
      <c r="T8" s="22" t="inlineStr">
        <is>
          <t>Age-related nuclear cataract, unspecified eye</t>
        </is>
      </c>
      <c r="U8" s="23" t="inlineStr">
        <is>
          <t>H52.10</t>
        </is>
      </c>
      <c r="V8" s="24" t="inlineStr">
        <is>
          <t>Myopia, unspecified eye (refractive indication for EDOF)</t>
        </is>
      </c>
    </row>
    <row r="9" ht="30" customHeight="1">
      <c r="A9" s="5" t="inlineStr">
        <is>
          <t>Angioplasty with Stent</t>
        </is>
      </c>
      <c r="B9" s="19" t="inlineStr">
        <is>
          <t>PTCA Single Vessel</t>
        </is>
      </c>
      <c r="C9" s="19" t="inlineStr">
        <is>
          <t>Drug Eluting Stent (DES) + VCD</t>
        </is>
      </c>
      <c r="D9" s="5" t="inlineStr">
        <is>
          <t>Endovascular</t>
        </is>
      </c>
      <c r="E9" s="6" t="n">
        <v>2</v>
      </c>
      <c r="F9" s="6" t="n">
        <v>4000</v>
      </c>
      <c r="G9" s="6" t="n">
        <v>8000</v>
      </c>
      <c r="H9" s="6" t="n">
        <v>16000</v>
      </c>
      <c r="I9" s="6" t="n">
        <v>0</v>
      </c>
      <c r="J9" s="6" t="n">
        <v>0</v>
      </c>
      <c r="K9" s="6" t="n">
        <v>0</v>
      </c>
      <c r="L9" s="6" t="n">
        <v>80000</v>
      </c>
      <c r="M9" s="6" t="n">
        <v>51186</v>
      </c>
      <c r="N9" s="6" t="n">
        <v>12000</v>
      </c>
      <c r="O9" s="6">
        <f>SUM(L9:N9)</f>
        <v/>
      </c>
      <c r="P9" s="6" t="n"/>
      <c r="Q9" s="5" t="inlineStr">
        <is>
          <t>CGHS CP001 = 82935 (with VCD); DES IMCP01 = 23625 incl GST (confirmed)</t>
        </is>
      </c>
      <c r="R9" s="5" t="inlineStr">
        <is>
          <t>DAPT 12 months post-PCI. VCD reduces bleeding risk.</t>
        </is>
      </c>
      <c r="S9" s="21" t="inlineStr">
        <is>
          <t>I25.10</t>
        </is>
      </c>
      <c r="T9" s="22" t="inlineStr">
        <is>
          <t>Atherosclerotic heart disease of native coronary artery (single vessel)</t>
        </is>
      </c>
      <c r="U9" s="23" t="inlineStr">
        <is>
          <t>Z95.5</t>
        </is>
      </c>
      <c r="V9" s="24" t="inlineStr">
        <is>
          <t>Presence of coronary angioplasty implant and graft (post-op)</t>
        </is>
      </c>
    </row>
    <row r="10" ht="30" customHeight="1">
      <c r="A10" s="5" t="inlineStr">
        <is>
          <t>Angioplasty with Stent</t>
        </is>
      </c>
      <c r="B10" s="5" t="inlineStr">
        <is>
          <t>PTCA Multi-Vessel</t>
        </is>
      </c>
      <c r="C10" s="19" t="inlineStr">
        <is>
          <t>2x DES - Two Vessel Disease</t>
        </is>
      </c>
      <c r="D10" s="5" t="inlineStr">
        <is>
          <t>Endovascular</t>
        </is>
      </c>
      <c r="E10" s="6" t="n">
        <v>3</v>
      </c>
      <c r="F10" s="6" t="n">
        <v>6000</v>
      </c>
      <c r="G10" s="6" t="n">
        <v>12000</v>
      </c>
      <c r="H10" s="6" t="n">
        <v>24000</v>
      </c>
      <c r="I10" s="6" t="n">
        <v>5400</v>
      </c>
      <c r="J10" s="6" t="n">
        <v>0</v>
      </c>
      <c r="K10" s="6" t="n">
        <v>1</v>
      </c>
      <c r="L10" s="6" t="n">
        <v>98000</v>
      </c>
      <c r="M10" s="6" t="n">
        <v>90372</v>
      </c>
      <c r="N10" s="6" t="n">
        <v>18000</v>
      </c>
      <c r="O10" s="6">
        <f>SUM(L10:N10)</f>
        <v/>
      </c>
      <c r="P10" s="6" t="n"/>
      <c r="Q10" s="5" t="inlineStr">
        <is>
          <t>2x DES = 2 x 23625 = 47250 (IMCP01 confirmed); CCU 1 day</t>
        </is>
      </c>
      <c r="R10" s="5" t="inlineStr">
        <is>
          <t>IVUS/FFR guidance may add 20000-55000 (CP023/CP024).</t>
        </is>
      </c>
      <c r="S10" s="21" t="inlineStr">
        <is>
          <t>I25.10</t>
        </is>
      </c>
      <c r="T10" s="22" t="inlineStr">
        <is>
          <t>Atherosclerotic heart disease of native coronary artery (multi-vessel)</t>
        </is>
      </c>
      <c r="U10" s="23" t="inlineStr">
        <is>
          <t>I25.2</t>
        </is>
      </c>
      <c r="V10" s="24" t="inlineStr">
        <is>
          <t>Old myocardial infarction (additional if prior MI present)</t>
        </is>
      </c>
    </row>
    <row r="11" ht="30" customHeight="1">
      <c r="A11" s="5" t="inlineStr">
        <is>
          <t>Angioplasty with Stent</t>
        </is>
      </c>
      <c r="B11" s="5" t="inlineStr">
        <is>
          <t>PTCA Multi-Vessel</t>
        </is>
      </c>
      <c r="C11" s="19" t="inlineStr">
        <is>
          <t>3x DES - Triple Vessel/Left Main</t>
        </is>
      </c>
      <c r="D11" s="5" t="inlineStr">
        <is>
          <t>Endovascular</t>
        </is>
      </c>
      <c r="E11" s="6" t="n">
        <v>4</v>
      </c>
      <c r="F11" s="6" t="n">
        <v>8000</v>
      </c>
      <c r="G11" s="6" t="n">
        <v>16000</v>
      </c>
      <c r="H11" s="6" t="n">
        <v>32000</v>
      </c>
      <c r="I11" s="6" t="n">
        <v>5400</v>
      </c>
      <c r="J11" s="6" t="n">
        <v>0</v>
      </c>
      <c r="K11" s="6" t="n">
        <v>1</v>
      </c>
      <c r="L11" s="6" t="n">
        <v>117000</v>
      </c>
      <c r="M11" s="6" t="n">
        <v>129558</v>
      </c>
      <c r="N11" s="6" t="n">
        <v>24000</v>
      </c>
      <c r="O11" s="6">
        <f>SUM(L11:N11)</f>
        <v/>
      </c>
      <c r="P11" s="6" t="n"/>
      <c r="Q11" s="5" t="inlineStr">
        <is>
          <t>3x DES = 3 x 23625 = 70875 (IMCP01 confirmed); ICU post-procedure</t>
        </is>
      </c>
      <c r="R11" s="5" t="inlineStr">
        <is>
          <t>Consider SYNTAX score vs CABG. SYNTAX &gt;32 favours CABG.</t>
        </is>
      </c>
      <c r="S11" s="21" t="inlineStr">
        <is>
          <t>I25.10</t>
        </is>
      </c>
      <c r="T11" s="22" t="inlineStr">
        <is>
          <t>Atherosclerotic heart disease — triple vessel / left main disease</t>
        </is>
      </c>
      <c r="U11" s="23" t="inlineStr">
        <is>
          <t>I25.5</t>
        </is>
      </c>
      <c r="V11" s="24" t="inlineStr">
        <is>
          <t>Ischaemic cardiomyopathy (if EF reduced — add as secondary)</t>
        </is>
      </c>
    </row>
    <row r="12" ht="30" customHeight="1">
      <c r="A12" s="3" t="inlineStr">
        <is>
          <t>Hernia Repair</t>
        </is>
      </c>
      <c r="B12" s="3" t="inlineStr">
        <is>
          <t>Inguinal Hernia</t>
        </is>
      </c>
      <c r="C12" s="17" t="inlineStr">
        <is>
          <t>Open Lichtenstein + Mesh</t>
        </is>
      </c>
      <c r="D12" s="3" t="inlineStr">
        <is>
          <t>Open</t>
        </is>
      </c>
      <c r="E12" s="4" t="n">
        <v>2</v>
      </c>
      <c r="F12" s="4" t="n">
        <v>4000</v>
      </c>
      <c r="G12" s="4" t="n">
        <v>8000</v>
      </c>
      <c r="H12" s="4" t="n">
        <v>16000</v>
      </c>
      <c r="I12" s="4" t="n">
        <v>0</v>
      </c>
      <c r="J12" s="4" t="n">
        <v>0</v>
      </c>
      <c r="K12" s="4" t="n">
        <v>0</v>
      </c>
      <c r="L12" s="4" t="n">
        <v>36200</v>
      </c>
      <c r="M12" s="4" t="n">
        <v>5000</v>
      </c>
      <c r="N12" s="4" t="n">
        <v>0</v>
      </c>
      <c r="O12" s="4">
        <f>SUM(L12:N12)</f>
        <v/>
      </c>
      <c r="P12" s="4" t="n"/>
      <c r="Q12" s="3" t="inlineStr">
        <is>
          <t>CGHS AG025 Hernioplasty = 29925; PP mesh avg 3000-4000 = 3500 (not in package)</t>
        </is>
      </c>
      <c r="R12" s="3" t="inlineStr">
        <is>
          <t>LA/Spinal. Recurrence &lt;1%. LOS 2-3 days.</t>
        </is>
      </c>
      <c r="S12" s="21" t="inlineStr">
        <is>
          <t>K40.90</t>
        </is>
      </c>
      <c r="T12" s="22" t="inlineStr">
        <is>
          <t>Unilateral inguinal hernia, without obstruction/gangrene (open)</t>
        </is>
      </c>
      <c r="U12" s="23" t="inlineStr">
        <is>
          <t>K40.20</t>
        </is>
      </c>
      <c r="V12" s="24" t="inlineStr">
        <is>
          <t>Use K40.20 instead if BILATERAL inguinal hernia</t>
        </is>
      </c>
    </row>
    <row r="13" ht="30" customHeight="1">
      <c r="A13" s="3" t="inlineStr">
        <is>
          <t>Hernia Repair</t>
        </is>
      </c>
      <c r="B13" s="3" t="inlineStr">
        <is>
          <t>Inguinal Hernia</t>
        </is>
      </c>
      <c r="C13" s="17" t="inlineStr">
        <is>
          <t>Laparoscopic TEP/TAPP + Mesh</t>
        </is>
      </c>
      <c r="D13" s="3" t="inlineStr">
        <is>
          <t>Laparoscopic</t>
        </is>
      </c>
      <c r="E13" s="4" t="n">
        <v>2</v>
      </c>
      <c r="F13" s="4" t="n">
        <v>4000</v>
      </c>
      <c r="G13" s="4" t="n">
        <v>8000</v>
      </c>
      <c r="H13" s="4" t="n">
        <v>16000</v>
      </c>
      <c r="I13" s="4" t="n">
        <v>0</v>
      </c>
      <c r="J13" s="4" t="n">
        <v>0</v>
      </c>
      <c r="K13" s="4" t="n">
        <v>0</v>
      </c>
      <c r="L13" s="4" t="n">
        <v>46200</v>
      </c>
      <c r="M13" s="4" t="n">
        <v>12000</v>
      </c>
      <c r="N13" s="4" t="n">
        <v>20000</v>
      </c>
      <c r="O13" s="4">
        <f>SUM(L13:N13)</f>
        <v/>
      </c>
      <c r="P13" s="4" t="n"/>
      <c r="Q13" s="3" t="inlineStr">
        <is>
          <t>CGHS AG096 Lap Hernia = 32918; lap premium +15000; mesh avg 6000-8000 = 7000</t>
        </is>
      </c>
      <c r="R13" s="3" t="inlineStr">
        <is>
          <t>Bilateral in same sitting possible. GA required.</t>
        </is>
      </c>
      <c r="S13" s="21" t="inlineStr">
        <is>
          <t>K40.90</t>
        </is>
      </c>
      <c r="T13" s="22" t="inlineStr">
        <is>
          <t>Unilateral inguinal hernia, without obstruction (laparoscopic)</t>
        </is>
      </c>
      <c r="U13" s="23" t="inlineStr">
        <is>
          <t>K40.20</t>
        </is>
      </c>
      <c r="V13" s="24" t="inlineStr">
        <is>
          <t>Use K40.20 instead if BILATERAL inguinal hernia</t>
        </is>
      </c>
    </row>
    <row r="14" ht="30" customHeight="1">
      <c r="A14" s="3" t="inlineStr">
        <is>
          <t>Hernia Repair</t>
        </is>
      </c>
      <c r="B14" s="17" t="inlineStr">
        <is>
          <t>Ventral/Incisional Hernia</t>
        </is>
      </c>
      <c r="C14" s="17" t="inlineStr">
        <is>
          <t>Open Repair + Sublay Mesh</t>
        </is>
      </c>
      <c r="D14" s="3" t="inlineStr">
        <is>
          <t>Open</t>
        </is>
      </c>
      <c r="E14" s="4" t="n">
        <v>4</v>
      </c>
      <c r="F14" s="4" t="n">
        <v>8000</v>
      </c>
      <c r="G14" s="4" t="n">
        <v>16000</v>
      </c>
      <c r="H14" s="4" t="n">
        <v>32000</v>
      </c>
      <c r="I14" s="4" t="n">
        <v>0</v>
      </c>
      <c r="J14" s="4" t="n">
        <v>0</v>
      </c>
      <c r="K14" s="4" t="n">
        <v>0</v>
      </c>
      <c r="L14" s="4" t="n">
        <v>43500</v>
      </c>
      <c r="M14" s="4" t="n">
        <v>8500</v>
      </c>
      <c r="N14" s="4" t="n">
        <v>0</v>
      </c>
      <c r="O14" s="4">
        <f>SUM(L14:N14)</f>
        <v/>
      </c>
      <c r="P14" s="4" t="n"/>
      <c r="Q14" s="3" t="inlineStr">
        <is>
          <t>CGHS AG023 = 29925; sublay mesh avg 8000-12000 = 10000</t>
        </is>
      </c>
      <c r="R14" s="3" t="inlineStr">
        <is>
          <t>Seroma common. Drain 2-3 weeks. LOS 4-6 days.</t>
        </is>
      </c>
      <c r="S14" s="21" t="inlineStr">
        <is>
          <t>K43.2</t>
        </is>
      </c>
      <c r="T14" s="22" t="inlineStr">
        <is>
          <t>Incisional hernia without obstruction or gangrene (open sublay)</t>
        </is>
      </c>
      <c r="U14" s="23" t="inlineStr">
        <is>
          <t>K43.9</t>
        </is>
      </c>
      <c r="V14" s="24" t="inlineStr">
        <is>
          <t>Use K43.9 if primary ventral hernia (not post-surgical incisional)</t>
        </is>
      </c>
    </row>
    <row r="15" ht="30" customHeight="1">
      <c r="A15" s="3" t="inlineStr">
        <is>
          <t>Hernia Repair</t>
        </is>
      </c>
      <c r="B15" s="3" t="inlineStr">
        <is>
          <t>Ventral/Incisional Hernia</t>
        </is>
      </c>
      <c r="C15" s="17" t="inlineStr">
        <is>
          <t>Laparoscopic IPOM + Composite Mesh</t>
        </is>
      </c>
      <c r="D15" s="3" t="inlineStr">
        <is>
          <t>Laparoscopic</t>
        </is>
      </c>
      <c r="E15" s="4" t="n">
        <v>3</v>
      </c>
      <c r="F15" s="4" t="n">
        <v>6000</v>
      </c>
      <c r="G15" s="4" t="n">
        <v>12000</v>
      </c>
      <c r="H15" s="4" t="n">
        <v>24000</v>
      </c>
      <c r="I15" s="4" t="n">
        <v>0</v>
      </c>
      <c r="J15" s="4" t="n">
        <v>0</v>
      </c>
      <c r="K15" s="4" t="n">
        <v>0</v>
      </c>
      <c r="L15" s="4" t="n">
        <v>66500</v>
      </c>
      <c r="M15" s="4" t="n">
        <v>32000</v>
      </c>
      <c r="N15" s="4" t="n">
        <v>25000</v>
      </c>
      <c r="O15" s="4">
        <f>SUM(L15:N15)</f>
        <v/>
      </c>
      <c r="P15" s="4" t="n"/>
      <c r="Q15" s="3" t="inlineStr">
        <is>
          <t>CGHS AG097 Lap Ventral = 32918; composite PTFE+PP mesh avg 12000-16000 = 14000</t>
        </is>
      </c>
      <c r="R15" s="3" t="inlineStr">
        <is>
          <t>Lap premium +15000. LOS 2-3 days.</t>
        </is>
      </c>
      <c r="S15" s="21" t="inlineStr">
        <is>
          <t>K43.2</t>
        </is>
      </c>
      <c r="T15" s="22" t="inlineStr">
        <is>
          <t>Incisional hernia without obstruction or gangrene (laparoscopic IPOM)</t>
        </is>
      </c>
      <c r="U15" s="23" t="inlineStr">
        <is>
          <t>K43.9</t>
        </is>
      </c>
      <c r="V15" s="24" t="inlineStr">
        <is>
          <t>Use K43.9 if primary ventral hernia (not post-surgical incisional)</t>
        </is>
      </c>
    </row>
    <row r="16" ht="30" customHeight="1">
      <c r="A16" s="17" t="inlineStr">
        <is>
          <t>Gallbladder Removal</t>
        </is>
      </c>
      <c r="B16" s="3" t="inlineStr">
        <is>
          <t>Laparoscopic Cholecystectomy</t>
        </is>
      </c>
      <c r="C16" s="3" t="inlineStr">
        <is>
          <t>Standard Uncomplicated</t>
        </is>
      </c>
      <c r="D16" s="3" t="inlineStr">
        <is>
          <t>Laparoscopic</t>
        </is>
      </c>
      <c r="E16" s="4" t="n">
        <v>2</v>
      </c>
      <c r="F16" s="4" t="n">
        <v>4000</v>
      </c>
      <c r="G16" s="4" t="n">
        <v>8000</v>
      </c>
      <c r="H16" s="4" t="n">
        <v>16000</v>
      </c>
      <c r="I16" s="4" t="n">
        <v>0</v>
      </c>
      <c r="J16" s="4" t="n">
        <v>0</v>
      </c>
      <c r="K16" s="4" t="n">
        <v>0</v>
      </c>
      <c r="L16" s="4" t="n">
        <v>41000</v>
      </c>
      <c r="M16" s="4" t="n">
        <v>5600</v>
      </c>
      <c r="N16" s="4" t="n">
        <v>17500</v>
      </c>
      <c r="O16" s="4">
        <f>SUM(L16:N16)</f>
        <v/>
      </c>
      <c r="P16" s="4" t="n"/>
      <c r="Q16" s="3" t="inlineStr">
        <is>
          <t>CGHS AG094 Lap Chole = 31037; disposable ports avg 1500-2200 = 2200; lap premium +15000</t>
        </is>
      </c>
      <c r="R16" s="3" t="inlineStr">
        <is>
          <t>Day care to 2-day LOS. GA required.</t>
        </is>
      </c>
      <c r="S16" s="21" t="inlineStr">
        <is>
          <t>K80.20</t>
        </is>
      </c>
      <c r="T16" s="22" t="inlineStr">
        <is>
          <t>Calculus of gallbladder without cholecystitis, without obstruction</t>
        </is>
      </c>
      <c r="U16" s="23" t="inlineStr">
        <is>
          <t>K80.21</t>
        </is>
      </c>
      <c r="V16" s="24" t="inlineStr">
        <is>
          <t>Use K80.21 if with obstruction / K80.00 if with acute cholecystitis</t>
        </is>
      </c>
    </row>
    <row r="17" ht="30" customHeight="1">
      <c r="A17" s="3" t="inlineStr">
        <is>
          <t>Gallbladder Removal</t>
        </is>
      </c>
      <c r="B17" s="3" t="inlineStr">
        <is>
          <t>Laparoscopic Cholecystectomy</t>
        </is>
      </c>
      <c r="C17" s="17" t="inlineStr">
        <is>
          <t>Complicated - Acute Cholecystitis/CBD Stones</t>
        </is>
      </c>
      <c r="D17" s="3" t="inlineStr">
        <is>
          <t>Laparoscopic</t>
        </is>
      </c>
      <c r="E17" s="4" t="n">
        <v>3</v>
      </c>
      <c r="F17" s="4" t="n">
        <v>6000</v>
      </c>
      <c r="G17" s="4" t="n">
        <v>12000</v>
      </c>
      <c r="H17" s="4" t="n">
        <v>24000</v>
      </c>
      <c r="I17" s="4" t="n">
        <v>0</v>
      </c>
      <c r="J17" s="4" t="n">
        <v>0</v>
      </c>
      <c r="K17" s="4" t="n">
        <v>0</v>
      </c>
      <c r="L17" s="4" t="n">
        <v>55000</v>
      </c>
      <c r="M17" s="4" t="n">
        <v>7500</v>
      </c>
      <c r="N17" s="4" t="n">
        <v>22000</v>
      </c>
      <c r="O17" s="4">
        <f>SUM(L17:N17)</f>
        <v/>
      </c>
      <c r="P17" s="4" t="n"/>
      <c r="Q17" s="3" t="inlineStr">
        <is>
          <t>CGHS AG094 = 31037; ERCP pre-op if CBD stones adds ~MG025 12060; drain likely</t>
        </is>
      </c>
      <c r="R17" s="3" t="inlineStr">
        <is>
          <t>ERCP pre-op if CBD stones. Drain likely. LOS 3-5 days.</t>
        </is>
      </c>
      <c r="S17" s="21" t="inlineStr">
        <is>
          <t>K81.0</t>
        </is>
      </c>
      <c r="T17" s="22" t="inlineStr">
        <is>
          <t>Acute cholecystitis (complicated / gangrenous / empyema)</t>
        </is>
      </c>
      <c r="U17" s="23" t="inlineStr">
        <is>
          <t>K80.51</t>
        </is>
      </c>
      <c r="V17" s="24" t="inlineStr">
        <is>
          <t>Calculus of bile duct with obstruction (if CBD stones confirmed)</t>
        </is>
      </c>
    </row>
    <row r="18" ht="30" customHeight="1">
      <c r="A18" s="3" t="inlineStr">
        <is>
          <t>Appendectomy</t>
        </is>
      </c>
      <c r="B18" s="3" t="inlineStr">
        <is>
          <t>Laparoscopic Appendectomy</t>
        </is>
      </c>
      <c r="C18" s="17" t="inlineStr">
        <is>
          <t>Uncomplicated Acute Appendicitis</t>
        </is>
      </c>
      <c r="D18" s="3" t="inlineStr">
        <is>
          <t>Laparoscopic</t>
        </is>
      </c>
      <c r="E18" s="4" t="n">
        <v>2</v>
      </c>
      <c r="F18" s="4" t="n">
        <v>4000</v>
      </c>
      <c r="G18" s="4" t="n">
        <v>8000</v>
      </c>
      <c r="H18" s="4" t="n">
        <v>16000</v>
      </c>
      <c r="I18" s="4" t="n">
        <v>0</v>
      </c>
      <c r="J18" s="4" t="n">
        <v>0</v>
      </c>
      <c r="K18" s="4" t="n">
        <v>0</v>
      </c>
      <c r="L18" s="4" t="n">
        <v>37000</v>
      </c>
      <c r="M18" s="4" t="n">
        <v>15000</v>
      </c>
      <c r="N18" s="4" t="n">
        <v>3000</v>
      </c>
      <c r="O18" s="4">
        <f>SUM(L18:N18)</f>
        <v/>
      </c>
      <c r="P18" s="4" t="n"/>
      <c r="Q18" s="3" t="inlineStr">
        <is>
          <t>CGHS AG095 Lap Appendectomy = 28215; endo-loop + ports avg 2000-3000 = 2500; lap premium +15000</t>
        </is>
      </c>
      <c r="R18" s="3" t="inlineStr">
        <is>
          <t>IV Cefuroxime+Metronidazole 24-48h. LOS 2-3 days.</t>
        </is>
      </c>
      <c r="S18" s="21" t="inlineStr">
        <is>
          <t>K35.89</t>
        </is>
      </c>
      <c r="T18" s="22" t="inlineStr">
        <is>
          <t>Other and unspecified acute appendicitis without peritonitis</t>
        </is>
      </c>
      <c r="U18" s="23" t="inlineStr">
        <is>
          <t>—</t>
        </is>
      </c>
      <c r="V18" s="24" t="inlineStr">
        <is>
          <t>—</t>
        </is>
      </c>
    </row>
    <row r="19" ht="30" customHeight="1">
      <c r="A19" s="3" t="inlineStr">
        <is>
          <t>Appendectomy</t>
        </is>
      </c>
      <c r="B19" s="3" t="inlineStr">
        <is>
          <t>Laparoscopic Appendectomy</t>
        </is>
      </c>
      <c r="C19" s="17" t="inlineStr">
        <is>
          <t>Perforated with Peritonitis</t>
        </is>
      </c>
      <c r="D19" s="3" t="inlineStr">
        <is>
          <t>Laparoscopic</t>
        </is>
      </c>
      <c r="E19" s="4" t="n">
        <v>5</v>
      </c>
      <c r="F19" s="4" t="n">
        <v>10000</v>
      </c>
      <c r="G19" s="4" t="n">
        <v>20000</v>
      </c>
      <c r="H19" s="4" t="n">
        <v>40000</v>
      </c>
      <c r="I19" s="4" t="n">
        <v>0</v>
      </c>
      <c r="J19" s="4" t="n">
        <v>0</v>
      </c>
      <c r="K19" s="4" t="n">
        <v>0</v>
      </c>
      <c r="L19" s="4" t="n">
        <v>56000</v>
      </c>
      <c r="M19" s="4" t="n">
        <v>18000</v>
      </c>
      <c r="N19" s="4" t="n">
        <v>5000</v>
      </c>
      <c r="O19" s="4">
        <f>SUM(L19:N19)</f>
        <v/>
      </c>
      <c r="P19" s="4" t="n"/>
      <c r="Q19" s="3" t="inlineStr">
        <is>
          <t>Lap premium +15000; extra consumables for washout; prolonged antibiotics</t>
        </is>
      </c>
      <c r="R19" s="3" t="inlineStr">
        <is>
          <t>Washout + drain. Prolonged IV antibiotics 5-7 days. LOS 5-8 days.</t>
        </is>
      </c>
      <c r="S19" s="21" t="inlineStr">
        <is>
          <t>K35.20</t>
        </is>
      </c>
      <c r="T19" s="22" t="inlineStr">
        <is>
          <t>Acute appendicitis with perforation and peritonitis (laparoscopic washout)</t>
        </is>
      </c>
      <c r="U19" s="23" t="inlineStr">
        <is>
          <t>K35.21</t>
        </is>
      </c>
      <c r="V19" s="24" t="inlineStr">
        <is>
          <t>Use K35.21 if localised peritonitis with abscess</t>
        </is>
      </c>
    </row>
    <row r="20" ht="30" customHeight="1">
      <c r="A20" s="3" t="inlineStr">
        <is>
          <t>Appendectomy</t>
        </is>
      </c>
      <c r="B20" s="3" t="inlineStr">
        <is>
          <t>Open Appendectomy</t>
        </is>
      </c>
      <c r="C20" s="17" t="inlineStr">
        <is>
          <t>Appendix Mass / Abscess / Interval</t>
        </is>
      </c>
      <c r="D20" s="3" t="inlineStr">
        <is>
          <t>Open</t>
        </is>
      </c>
      <c r="E20" s="4" t="n">
        <v>4</v>
      </c>
      <c r="F20" s="4" t="n">
        <v>8000</v>
      </c>
      <c r="G20" s="4" t="n">
        <v>16000</v>
      </c>
      <c r="H20" s="4" t="n">
        <v>32000</v>
      </c>
      <c r="I20" s="4" t="n">
        <v>0</v>
      </c>
      <c r="J20" s="4" t="n">
        <v>0</v>
      </c>
      <c r="K20" s="4" t="n">
        <v>0</v>
      </c>
      <c r="L20" s="4" t="n">
        <v>36000</v>
      </c>
      <c r="M20" s="4" t="n">
        <v>1000</v>
      </c>
      <c r="N20" s="4" t="n">
        <v>0</v>
      </c>
      <c r="O20" s="4">
        <f>SUM(L20:N20)</f>
        <v/>
      </c>
      <c r="P20" s="4" t="n"/>
      <c r="Q20" s="3" t="inlineStr">
        <is>
          <t>Open appendectomy approx AG095 28215 minus lap premium = 19855 (no endoscope)</t>
        </is>
      </c>
      <c r="R20" s="3" t="inlineStr">
        <is>
          <t>McBurney incision. LOS 3-5 days.</t>
        </is>
      </c>
      <c r="S20" s="21" t="inlineStr">
        <is>
          <t>K35.21</t>
        </is>
      </c>
      <c r="T20" s="22" t="inlineStr">
        <is>
          <t>Acute appendicitis with peritonitis and abscess / appendix mass</t>
        </is>
      </c>
      <c r="U20" s="23" t="inlineStr">
        <is>
          <t>K37</t>
        </is>
      </c>
      <c r="V20" s="24" t="inlineStr">
        <is>
          <t>Unspecified appendicitis — use if interval appendectomy, no acute inflammation</t>
        </is>
      </c>
    </row>
    <row r="21" ht="30" customHeight="1">
      <c r="A21" s="3" t="inlineStr">
        <is>
          <t>TURP - Prostate</t>
        </is>
      </c>
      <c r="B21" s="17" t="inlineStr">
        <is>
          <t>Standard TURP</t>
        </is>
      </c>
      <c r="C21" s="17" t="inlineStr">
        <is>
          <t>BPH - Monopolar/Bipolar TURP</t>
        </is>
      </c>
      <c r="D21" s="3" t="inlineStr">
        <is>
          <t>Endoscopic</t>
        </is>
      </c>
      <c r="E21" s="4" t="n">
        <v>3</v>
      </c>
      <c r="F21" s="4" t="n">
        <v>6000</v>
      </c>
      <c r="G21" s="4" t="n">
        <v>12000</v>
      </c>
      <c r="H21" s="4" t="n">
        <v>24000</v>
      </c>
      <c r="I21" s="4" t="n">
        <v>0</v>
      </c>
      <c r="J21" s="4" t="n">
        <v>0</v>
      </c>
      <c r="K21" s="4" t="n">
        <v>0</v>
      </c>
      <c r="L21" s="4" t="n">
        <v>51500</v>
      </c>
      <c r="M21" s="4" t="n">
        <v>6000</v>
      </c>
      <c r="N21" s="4" t="n">
        <v>4000</v>
      </c>
      <c r="O21" s="4">
        <f>SUM(L21:N21)</f>
        <v/>
      </c>
      <c r="P21" s="4" t="n"/>
      <c r="Q21" s="3" t="inlineStr">
        <is>
          <t>CGHS NU059 TURP = 53865; resectoscope loop avg 2500-4500 = 3500; endoscopic premium +15000</t>
        </is>
      </c>
      <c r="R21" s="3" t="inlineStr">
        <is>
          <t>Catheter 3-5 days post-op. Continuous irrigation. LOS 3-4 days.</t>
        </is>
      </c>
      <c r="S21" s="21" t="inlineStr">
        <is>
          <t>N40.1</t>
        </is>
      </c>
      <c r="T21" s="22" t="inlineStr">
        <is>
          <t>Benign prostatic hyperplasia with lower urinary tract symptoms (LUTS)</t>
        </is>
      </c>
      <c r="U21" s="23" t="inlineStr">
        <is>
          <t>N40.0</t>
        </is>
      </c>
      <c r="V21" s="24" t="inlineStr">
        <is>
          <t>Use N40.0 if BPH without LUTS (asymptomatic / urodynamic indication)</t>
        </is>
      </c>
    </row>
    <row r="22" ht="30" customHeight="1">
      <c r="A22" s="3" t="inlineStr">
        <is>
          <t>TURP - Prostate</t>
        </is>
      </c>
      <c r="B22" s="17" t="inlineStr">
        <is>
          <t>Holmium Laser HoLEP</t>
        </is>
      </c>
      <c r="C22" s="17" t="inlineStr">
        <is>
          <t>Laser Enucleation - Large Prostate &gt;80g</t>
        </is>
      </c>
      <c r="D22" s="3" t="inlineStr">
        <is>
          <t>Laser</t>
        </is>
      </c>
      <c r="E22" s="4" t="n">
        <v>2</v>
      </c>
      <c r="F22" s="4" t="n">
        <v>4000</v>
      </c>
      <c r="G22" s="4" t="n">
        <v>8000</v>
      </c>
      <c r="H22" s="4" t="n">
        <v>16000</v>
      </c>
      <c r="I22" s="4" t="n">
        <v>0</v>
      </c>
      <c r="J22" s="4" t="n">
        <v>0</v>
      </c>
      <c r="K22" s="4" t="n">
        <v>0</v>
      </c>
      <c r="L22" s="4" t="n">
        <v>62000</v>
      </c>
      <c r="M22" s="4" t="n">
        <v>22000</v>
      </c>
      <c r="N22" s="4" t="n">
        <v>18000</v>
      </c>
      <c r="O22" s="4">
        <f>SUM(L22:N22)</f>
        <v/>
      </c>
      <c r="P22" s="4" t="n"/>
      <c r="Q22" s="3" t="inlineStr">
        <is>
          <t>CGHS NU160 Holmium YAG Prostate = 64980 (updated from 53865); laser fiber avg 10000-20000 = 15000</t>
        </is>
      </c>
      <c r="R22" s="3" t="inlineStr">
        <is>
          <t>Less bleeding vs TURP. Faster recovery. LOS 2-3 days.</t>
        </is>
      </c>
      <c r="S22" s="21" t="inlineStr">
        <is>
          <t>N40.1</t>
        </is>
      </c>
      <c r="T22" s="22" t="inlineStr">
        <is>
          <t>Benign prostatic hyperplasia with LUTS — large prostate (HoLEP indication)</t>
        </is>
      </c>
      <c r="U22" s="23" t="inlineStr">
        <is>
          <t>N40.0</t>
        </is>
      </c>
      <c r="V22" s="24" t="inlineStr">
        <is>
          <t>Use N40.0 if without obstructive LUTS</t>
        </is>
      </c>
    </row>
    <row r="23" ht="30" customHeight="1">
      <c r="A23" s="3" t="inlineStr">
        <is>
          <t>Kidney Stone PCNL</t>
        </is>
      </c>
      <c r="B23" s="17" t="inlineStr">
        <is>
          <t>PCNL Unilateral</t>
        </is>
      </c>
      <c r="C23" s="17" t="inlineStr">
        <is>
          <t>Standard Stone Burden &lt;3cm</t>
        </is>
      </c>
      <c r="D23" s="3" t="inlineStr">
        <is>
          <t>Endoscopic</t>
        </is>
      </c>
      <c r="E23" s="4" t="n">
        <v>5</v>
      </c>
      <c r="F23" s="4" t="n">
        <v>10000</v>
      </c>
      <c r="G23" s="4" t="n">
        <v>20000</v>
      </c>
      <c r="H23" s="4" t="n">
        <v>40000</v>
      </c>
      <c r="I23" s="4" t="n">
        <v>0</v>
      </c>
      <c r="J23" s="4" t="n">
        <v>0</v>
      </c>
      <c r="K23" s="4" t="n">
        <v>0</v>
      </c>
      <c r="L23" s="4" t="n">
        <v>51500</v>
      </c>
      <c r="M23" s="4" t="n">
        <v>14000</v>
      </c>
      <c r="N23" s="4" t="n">
        <v>15000</v>
      </c>
      <c r="O23" s="4">
        <f>SUM(L23:N23)</f>
        <v/>
      </c>
      <c r="P23" s="4" t="n"/>
      <c r="Q23" s="3" t="inlineStr">
        <is>
          <t>CGHS NU128 PCNL Unilateral = 45315; nephroscope+probe+basket avg 7000-11000 = 9000; endoscopic +15000</t>
        </is>
      </c>
      <c r="R23" s="3" t="inlineStr">
        <is>
          <t>DJ stent post-op. LOS 4-5 days.</t>
        </is>
      </c>
      <c r="S23" s="21" t="inlineStr">
        <is>
          <t>N20.0</t>
        </is>
      </c>
      <c r="T23" s="22" t="inlineStr">
        <is>
          <t>Calculus of kidney (renal calculus / nephrolithiasis)</t>
        </is>
      </c>
      <c r="U23" s="23" t="inlineStr">
        <is>
          <t>N20.2</t>
        </is>
      </c>
      <c r="V23" s="24" t="inlineStr">
        <is>
          <t>Use N20.2 if calculus of kidney AND ureter simultaneously</t>
        </is>
      </c>
    </row>
    <row r="24" ht="30" customHeight="1">
      <c r="A24" s="3" t="inlineStr">
        <is>
          <t>Kidney Stone PCNL</t>
        </is>
      </c>
      <c r="B24" s="3" t="inlineStr">
        <is>
          <t>PCNL Unilateral</t>
        </is>
      </c>
      <c r="C24" s="17" t="inlineStr">
        <is>
          <t>Complex/Staghorn - Multiple Access Tracts</t>
        </is>
      </c>
      <c r="D24" s="3" t="inlineStr">
        <is>
          <t>Endoscopic</t>
        </is>
      </c>
      <c r="E24" s="4" t="n">
        <v>7</v>
      </c>
      <c r="F24" s="4" t="n">
        <v>14000</v>
      </c>
      <c r="G24" s="4" t="n">
        <v>28000</v>
      </c>
      <c r="H24" s="4" t="n">
        <v>56000</v>
      </c>
      <c r="I24" s="4" t="n">
        <v>0</v>
      </c>
      <c r="J24" s="4" t="n">
        <v>0</v>
      </c>
      <c r="K24" s="4" t="n">
        <v>0</v>
      </c>
      <c r="L24" s="4" t="n">
        <v>73500</v>
      </c>
      <c r="M24" s="4" t="n">
        <v>20000</v>
      </c>
      <c r="N24" s="4" t="n">
        <v>20000</v>
      </c>
      <c r="O24" s="4">
        <f>SUM(L24:N24)</f>
        <v/>
      </c>
      <c r="P24" s="4" t="n"/>
      <c r="Q24" s="3" t="inlineStr">
        <is>
          <t>Multiple tracts; extra nephroscope passes; avg consumable 12000-16000 = 14000</t>
        </is>
      </c>
      <c r="R24" s="3" t="inlineStr">
        <is>
          <t>Transfusion likely. Second-look nephroscopy. LOS 6-8 days.</t>
        </is>
      </c>
      <c r="S24" s="21" t="inlineStr">
        <is>
          <t>N20.0</t>
        </is>
      </c>
      <c r="T24" s="22" t="inlineStr">
        <is>
          <t>Calculus of kidney — staghorn / complex stone burden (PCNL multi-tract)</t>
        </is>
      </c>
      <c r="U24" s="23" t="inlineStr">
        <is>
          <t>N13.2</t>
        </is>
      </c>
      <c r="V24" s="24" t="inlineStr">
        <is>
          <t>Hydronephrosis with renal and ureteral calculus obstruction (if applicable)</t>
        </is>
      </c>
    </row>
    <row r="25" ht="30" customHeight="1">
      <c r="A25" s="3" t="inlineStr">
        <is>
          <t>Kidney Stone PCNL</t>
        </is>
      </c>
      <c r="B25" s="17" t="inlineStr">
        <is>
          <t>Mini-PCNL</t>
        </is>
      </c>
      <c r="C25" s="17" t="inlineStr">
        <is>
          <t>Small Stones 1-2cm - Mini Tract &lt;20Fr</t>
        </is>
      </c>
      <c r="D25" s="3" t="inlineStr">
        <is>
          <t>Endoscopic</t>
        </is>
      </c>
      <c r="E25" s="4" t="n">
        <v>3</v>
      </c>
      <c r="F25" s="4" t="n">
        <v>6000</v>
      </c>
      <c r="G25" s="4" t="n">
        <v>12000</v>
      </c>
      <c r="H25" s="4" t="n">
        <v>24000</v>
      </c>
      <c r="I25" s="4" t="n">
        <v>0</v>
      </c>
      <c r="J25" s="4" t="n">
        <v>0</v>
      </c>
      <c r="K25" s="4" t="n">
        <v>0</v>
      </c>
      <c r="L25" s="4" t="n">
        <v>62500</v>
      </c>
      <c r="M25" s="4" t="n">
        <v>16000</v>
      </c>
      <c r="N25" s="4" t="n">
        <v>25000</v>
      </c>
      <c r="O25" s="4">
        <f>SUM(L25:N25)</f>
        <v/>
      </c>
      <c r="P25" s="4" t="n"/>
      <c r="Q25" s="3" t="inlineStr">
        <is>
          <t>Mini-PCNL consumable avg 9000-13000 = 11000; CGHS NU128 = 45315 base</t>
        </is>
      </c>
      <c r="R25" s="3" t="inlineStr">
        <is>
          <t>Less bleeding, faster recovery. Specialty centre required.</t>
        </is>
      </c>
      <c r="S25" s="21" t="inlineStr">
        <is>
          <t>N20.0</t>
        </is>
      </c>
      <c r="T25" s="22" t="inlineStr">
        <is>
          <t>Calculus of kidney — small stone 1-2cm (Mini-PCNL / RIRS territory)</t>
        </is>
      </c>
      <c r="U25" s="23" t="inlineStr">
        <is>
          <t>N20.1</t>
        </is>
      </c>
      <c r="V25" s="24" t="inlineStr">
        <is>
          <t>Use N20.1 if stone is primarily in ureter (ureteric calculus)</t>
        </is>
      </c>
    </row>
    <row r="26" ht="30" customHeight="1">
      <c r="A26" s="17" t="inlineStr">
        <is>
          <t>Varicose Veins</t>
        </is>
      </c>
      <c r="B26" s="17" t="inlineStr">
        <is>
          <t>Open Surgery - Trendelenburg + Stripping</t>
        </is>
      </c>
      <c r="C26" s="17" t="inlineStr">
        <is>
          <t>Conventional Open - Unilateral</t>
        </is>
      </c>
      <c r="D26" s="3" t="inlineStr">
        <is>
          <t>Open</t>
        </is>
      </c>
      <c r="E26" s="4" t="n">
        <v>2</v>
      </c>
      <c r="F26" s="4" t="n">
        <v>4000</v>
      </c>
      <c r="G26" s="4" t="n">
        <v>8000</v>
      </c>
      <c r="H26" s="4" t="n">
        <v>16000</v>
      </c>
      <c r="I26" s="4" t="n">
        <v>0</v>
      </c>
      <c r="J26" s="4" t="n">
        <v>0</v>
      </c>
      <c r="K26" s="4" t="n">
        <v>0</v>
      </c>
      <c r="L26" s="4" t="n">
        <v>42000</v>
      </c>
      <c r="M26" s="4" t="n">
        <v>0</v>
      </c>
      <c r="N26" s="4" t="n">
        <v>4000</v>
      </c>
      <c r="O26" s="4">
        <f>SUM(L26:N26)</f>
        <v/>
      </c>
      <c r="P26" s="4" t="n"/>
      <c r="Q26" s="3" t="inlineStr">
        <is>
          <t>CGHS CV001 Varicose Vein Open = 21632; no tech premium; stripping kit avg 2000-3000 = 2500</t>
        </is>
      </c>
      <c r="R26" s="3" t="inlineStr">
        <is>
          <t>Duplex USG mapping mandatory. Compression stockings 6 weeks.</t>
        </is>
      </c>
      <c r="S26" s="21" t="inlineStr">
        <is>
          <t>I83.91</t>
        </is>
      </c>
      <c r="T26" s="22" t="inlineStr">
        <is>
          <t>Varicose veins of right lower extremity without ulcer/inflammation (or I83.92 left)</t>
        </is>
      </c>
      <c r="U26" s="23" t="inlineStr">
        <is>
          <t>I83.90</t>
        </is>
      </c>
      <c r="V26" s="24" t="inlineStr">
        <is>
          <t>Use I83.90 if unspecified limb; I83.0x if with ulcer; I83.1x if with inflammation</t>
        </is>
      </c>
    </row>
    <row r="27" ht="30" customHeight="1">
      <c r="A27" s="3" t="inlineStr">
        <is>
          <t>Varicose Veins</t>
        </is>
      </c>
      <c r="B27" s="17" t="inlineStr">
        <is>
          <t>Laser Ablation EVLA</t>
        </is>
      </c>
      <c r="C27" s="17" t="inlineStr">
        <is>
          <t>Endovenous Laser - GSV Ablation</t>
        </is>
      </c>
      <c r="D27" s="3" t="inlineStr">
        <is>
          <t>Laser</t>
        </is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37500</v>
      </c>
      <c r="M27" s="4" t="n">
        <v>20000</v>
      </c>
      <c r="N27" s="4" t="n">
        <v>8000</v>
      </c>
      <c r="O27" s="4">
        <f>SUM(L27:N27)</f>
        <v/>
      </c>
      <c r="P27" s="4" t="n"/>
      <c r="Q27" s="3" t="inlineStr">
        <is>
          <t>CGHS CV003 Laser Ablation = 37620; EVLA single-use fiber avg 20000-25000 = 22500 (updated from 25000)</t>
        </is>
      </c>
      <c r="R27" s="3" t="inlineStr">
        <is>
          <t>Day care. Tumescent LA. Fiber cost is tech premium included in implant column.</t>
        </is>
      </c>
      <c r="S27" s="21" t="inlineStr">
        <is>
          <t>I83.91</t>
        </is>
      </c>
      <c r="T27" s="22" t="inlineStr">
        <is>
          <t>Varicose veins of right lower extremity — GSV reflux (EVLA indication)</t>
        </is>
      </c>
      <c r="U27" s="23" t="inlineStr">
        <is>
          <t>I83.90</t>
        </is>
      </c>
      <c r="V27" s="24" t="inlineStr">
        <is>
          <t>Use I83.90 if unspecified limb laterality</t>
        </is>
      </c>
    </row>
    <row r="28" ht="30" customHeight="1">
      <c r="A28" s="3" t="inlineStr">
        <is>
          <t>Varicose Veins</t>
        </is>
      </c>
      <c r="B28" s="17" t="inlineStr">
        <is>
          <t>RFA Ablation</t>
        </is>
      </c>
      <c r="C28" s="17" t="inlineStr">
        <is>
          <t>ClosureFast Radiofrequency Ablation</t>
        </is>
      </c>
      <c r="D28" s="3" t="inlineStr">
        <is>
          <t>Endovascular</t>
        </is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39200</v>
      </c>
      <c r="M28" s="4" t="n">
        <v>40000</v>
      </c>
      <c r="N28" s="4" t="n">
        <v>10000</v>
      </c>
      <c r="O28" s="4">
        <f>SUM(L28:N28)</f>
        <v/>
      </c>
      <c r="P28" s="4" t="n"/>
      <c r="Q28" s="3" t="inlineStr">
        <is>
          <t>CGHS CV002 RFA = 8415 (procedure only); RFA catheter IMCV01 = Unlisted; market avg 12000-18000 = 15000</t>
        </is>
      </c>
      <c r="R28" s="3" t="inlineStr">
        <is>
          <t>RFA catheter shorter procedure vs laser. Day care.</t>
        </is>
      </c>
      <c r="S28" s="21" t="inlineStr">
        <is>
          <t>I83.91</t>
        </is>
      </c>
      <c r="T28" s="22" t="inlineStr">
        <is>
          <t>Varicose veins of right lower extremity — GSV/SSV reflux (RFA indication)</t>
        </is>
      </c>
      <c r="U28" s="23" t="inlineStr">
        <is>
          <t>I83.90</t>
        </is>
      </c>
      <c r="V28" s="24" t="inlineStr">
        <is>
          <t>Use I83.90 if unspecified limb laterality</t>
        </is>
      </c>
    </row>
    <row r="29" ht="30" customHeight="1">
      <c r="A29" s="17" t="inlineStr">
        <is>
          <t>Piles Surgery</t>
        </is>
      </c>
      <c r="B29" s="17" t="inlineStr">
        <is>
          <t>Open Haemorrhoidectomy</t>
        </is>
      </c>
      <c r="C29" s="17" t="inlineStr">
        <is>
          <t>Milligan-Morgan - Grade 3/4</t>
        </is>
      </c>
      <c r="D29" s="3" t="inlineStr">
        <is>
          <t>Open</t>
        </is>
      </c>
      <c r="E29" s="4" t="n">
        <v>2</v>
      </c>
      <c r="F29" s="4" t="n">
        <v>4000</v>
      </c>
      <c r="G29" s="4" t="n">
        <v>8000</v>
      </c>
      <c r="H29" s="4" t="n">
        <v>16000</v>
      </c>
      <c r="I29" s="4" t="n">
        <v>0</v>
      </c>
      <c r="J29" s="4" t="n">
        <v>0</v>
      </c>
      <c r="K29" s="4" t="n">
        <v>0</v>
      </c>
      <c r="L29" s="4" t="n">
        <v>37000</v>
      </c>
      <c r="M29" s="4" t="n">
        <v>0</v>
      </c>
      <c r="N29" s="4" t="n">
        <v>0</v>
      </c>
      <c r="O29" s="4">
        <f>SUM(L29:N29)</f>
        <v/>
      </c>
      <c r="P29" s="4" t="n"/>
      <c r="Q29" s="3" t="inlineStr">
        <is>
          <t>CGHS GS018 Haemorrhoidectomy = 28215; no tech premium; dressings avg 1500</t>
        </is>
      </c>
      <c r="R29" s="3" t="inlineStr">
        <is>
          <t>High post-op pain. SA preferred. Sitz baths 3x/day.</t>
        </is>
      </c>
      <c r="S29" s="21" t="inlineStr">
        <is>
          <t>K64.3</t>
        </is>
      </c>
      <c r="T29" s="22" t="inlineStr">
        <is>
          <t>Third degree haemorrhoids (Grade 3 — prolapse reducible; Grade 4 = K64.8)</t>
        </is>
      </c>
      <c r="U29" s="23" t="inlineStr">
        <is>
          <t>K64.8</t>
        </is>
      </c>
      <c r="V29" s="24" t="inlineStr">
        <is>
          <t>Use K64.8 for Grade 4 irreducible prolapsed haemorrhoids</t>
        </is>
      </c>
    </row>
    <row r="30" ht="30" customHeight="1">
      <c r="A30" s="3" t="inlineStr">
        <is>
          <t>Piles Surgery</t>
        </is>
      </c>
      <c r="B30" s="17" t="inlineStr">
        <is>
          <t>Stapler Haemorrhoidectomy PPH</t>
        </is>
      </c>
      <c r="C30" s="17" t="inlineStr">
        <is>
          <t>Procedure for Prolapse - Grade 3/4</t>
        </is>
      </c>
      <c r="D30" s="3" t="inlineStr">
        <is>
          <t>Endoscopic</t>
        </is>
      </c>
      <c r="E30" s="4" t="n">
        <v>1</v>
      </c>
      <c r="F30" s="4" t="n">
        <v>2000</v>
      </c>
      <c r="G30" s="4" t="n">
        <v>4000</v>
      </c>
      <c r="H30" s="4" t="n">
        <v>8000</v>
      </c>
      <c r="I30" s="4" t="n">
        <v>0</v>
      </c>
      <c r="J30" s="4" t="n">
        <v>0</v>
      </c>
      <c r="K30" s="4" t="n">
        <v>0</v>
      </c>
      <c r="L30" s="4" t="n">
        <v>43000</v>
      </c>
      <c r="M30" s="4" t="n">
        <v>20000</v>
      </c>
      <c r="N30" s="4" t="n">
        <v>2000</v>
      </c>
      <c r="O30" s="4">
        <f>SUM(L30:N30)</f>
        <v/>
      </c>
      <c r="P30" s="4" t="n"/>
      <c r="Q30" s="3" t="inlineStr">
        <is>
          <t>CGHS GS019 Stapler = 29925 excl stapler; IMGS01 = Unlisted; market circular stapler avg 11000-13000 = 12000; endoscopic +15000</t>
        </is>
      </c>
      <c r="R30" s="3" t="inlineStr">
        <is>
          <t>Less pain vs open. Day care or 1-night stay.</t>
        </is>
      </c>
      <c r="S30" s="21" t="inlineStr">
        <is>
          <t>K64.3</t>
        </is>
      </c>
      <c r="T30" s="22" t="inlineStr">
        <is>
          <t>Third degree haemorrhoids — PPH/stapler for circumferential prolapse</t>
        </is>
      </c>
      <c r="U30" s="23" t="inlineStr">
        <is>
          <t>K64.8</t>
        </is>
      </c>
      <c r="V30" s="24" t="inlineStr">
        <is>
          <t>Use K64.8 for Grade 4 if irreducible</t>
        </is>
      </c>
    </row>
    <row r="31" ht="30" customHeight="1">
      <c r="A31" s="3" t="inlineStr">
        <is>
          <t>Piles Surgery</t>
        </is>
      </c>
      <c r="B31" s="17" t="inlineStr">
        <is>
          <t>Laser Haemorrhoidoplasty</t>
        </is>
      </c>
      <c r="C31" s="17" t="inlineStr">
        <is>
          <t>Laser - Grade 2/3 (OPD/Day Care)</t>
        </is>
      </c>
      <c r="D31" s="3" t="inlineStr">
        <is>
          <t>Laser</t>
        </is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44000</v>
      </c>
      <c r="M31" s="4" t="n">
        <v>12000</v>
      </c>
      <c r="N31" s="4" t="n">
        <v>15000</v>
      </c>
      <c r="O31" s="4">
        <f>SUM(L31:N31)</f>
        <v/>
      </c>
      <c r="P31" s="4" t="n"/>
      <c r="Q31" s="3" t="inlineStr">
        <is>
          <t>Laser probe for haemorrhoidoplasty avg 7000-9000 = 8000 (tech cost in implant column); no separate tech premium line</t>
        </is>
      </c>
      <c r="R31" s="3" t="inlineStr">
        <is>
          <t>Minimal pain, faster return to work. OPD procedure.</t>
        </is>
      </c>
      <c r="S31" s="21" t="inlineStr">
        <is>
          <t>K64.2</t>
        </is>
      </c>
      <c r="T31" s="22" t="inlineStr">
        <is>
          <t>Second degree haemorrhoids (Grade 2 — prolapse with spontaneous reduction)</t>
        </is>
      </c>
      <c r="U31" s="23" t="inlineStr">
        <is>
          <t>K64.3</t>
        </is>
      </c>
      <c r="V31" s="24" t="inlineStr">
        <is>
          <t>Use K64.3 if Grade 3 treated with laser</t>
        </is>
      </c>
    </row>
    <row r="32" ht="30" customHeight="1">
      <c r="A32" s="5" t="inlineStr">
        <is>
          <t>CABG - Bypass Surgery</t>
        </is>
      </c>
      <c r="B32" s="5" t="inlineStr">
        <is>
          <t>Standard On-Pump CABG</t>
        </is>
      </c>
      <c r="C32" s="5" t="inlineStr">
        <is>
          <t>2-4 Vessel Disease - Standard CPB</t>
        </is>
      </c>
      <c r="D32" s="5" t="inlineStr">
        <is>
          <t>Open</t>
        </is>
      </c>
      <c r="E32" s="6" t="n">
        <v>10</v>
      </c>
      <c r="F32" s="6" t="n">
        <v>20000</v>
      </c>
      <c r="G32" s="6" t="n">
        <v>40000</v>
      </c>
      <c r="H32" s="6" t="n">
        <v>80000</v>
      </c>
      <c r="I32" s="6" t="n">
        <v>16200</v>
      </c>
      <c r="J32" s="6" t="n">
        <v>6000</v>
      </c>
      <c r="K32" s="6" t="n">
        <v>3</v>
      </c>
      <c r="L32" s="6" t="n">
        <v>85000</v>
      </c>
      <c r="M32" s="6" t="n">
        <v>25000</v>
      </c>
      <c r="N32" s="6" t="n">
        <v>0</v>
      </c>
      <c r="O32" s="6">
        <f>SUM(L32:N32)</f>
        <v/>
      </c>
      <c r="P32" s="6" t="n"/>
      <c r="Q32" s="5" t="inlineStr">
        <is>
          <t>CGHS CV013 CABG = 153900; CPB consumables avg 12000-18000 = 15000; no robotic premium</t>
        </is>
      </c>
      <c r="R32" s="5" t="inlineStr">
        <is>
          <t>LIMA to LAD gold standard. ICU 3 days.</t>
        </is>
      </c>
      <c r="S32" s="21" t="inlineStr">
        <is>
          <t>I25.10</t>
        </is>
      </c>
      <c r="T32" s="22" t="inlineStr">
        <is>
          <t>Atherosclerotic heart disease of native coronary artery (on-pump CABG)</t>
        </is>
      </c>
      <c r="U32" s="23" t="inlineStr">
        <is>
          <t>Z95.1</t>
        </is>
      </c>
      <c r="V32" s="24" t="inlineStr">
        <is>
          <t>Presence of coronary artery bypass graft (post-op status code)</t>
        </is>
      </c>
    </row>
    <row r="33" ht="30" customHeight="1">
      <c r="A33" s="5" t="inlineStr">
        <is>
          <t>CABG - Bypass Surgery</t>
        </is>
      </c>
      <c r="B33" s="5" t="inlineStr">
        <is>
          <t>Off-Pump CABG (OPCAB)</t>
        </is>
      </c>
      <c r="C33" s="5" t="inlineStr">
        <is>
          <t>Beating Heart - No Cardiopulmonary Bypass</t>
        </is>
      </c>
      <c r="D33" s="5" t="inlineStr">
        <is>
          <t>Open</t>
        </is>
      </c>
      <c r="E33" s="6" t="n">
        <v>9</v>
      </c>
      <c r="F33" s="6" t="n">
        <v>18000</v>
      </c>
      <c r="G33" s="6" t="n">
        <v>36000</v>
      </c>
      <c r="H33" s="6" t="n">
        <v>72000</v>
      </c>
      <c r="I33" s="6" t="n">
        <v>10800</v>
      </c>
      <c r="J33" s="6" t="n">
        <v>3000</v>
      </c>
      <c r="K33" s="6" t="n">
        <v>2</v>
      </c>
      <c r="L33" s="6" t="n">
        <v>95000</v>
      </c>
      <c r="M33" s="6" t="n">
        <v>18000</v>
      </c>
      <c r="N33" s="6" t="n">
        <v>0</v>
      </c>
      <c r="O33" s="6">
        <f>SUM(L33:N33)</f>
        <v/>
      </c>
      <c r="P33" s="6" t="n"/>
      <c r="Q33" s="5" t="inlineStr">
        <is>
          <t>CGHS CV016 CABG without bypass = 201780; stabilizer device avg 12000-18000 = 15000; used 18000 for OPCAB</t>
        </is>
      </c>
      <c r="R33" s="5" t="inlineStr">
        <is>
          <t>Less renal/cognitive effects. Preferred for elderly patients.</t>
        </is>
      </c>
      <c r="S33" s="21" t="inlineStr">
        <is>
          <t>I25.10</t>
        </is>
      </c>
      <c r="T33" s="22" t="inlineStr">
        <is>
          <t>Atherosclerotic heart disease — off-pump beating heart CABG (OPCAB)</t>
        </is>
      </c>
      <c r="U33" s="23" t="inlineStr">
        <is>
          <t>Z95.1</t>
        </is>
      </c>
      <c r="V33" s="24" t="inlineStr">
        <is>
          <t>Presence of coronary artery bypass graft (post-op status code)</t>
        </is>
      </c>
    </row>
    <row r="34" ht="30" customHeight="1">
      <c r="A34" s="5" t="inlineStr">
        <is>
          <t>CABG - Bypass Surgery</t>
        </is>
      </c>
      <c r="B34" s="5" t="inlineStr">
        <is>
          <t>Robotic-Assisted CABG</t>
        </is>
      </c>
      <c r="C34" s="5" t="inlineStr">
        <is>
          <t>Totally Endoscopic CABG (TECAB)</t>
        </is>
      </c>
      <c r="D34" s="5" t="inlineStr">
        <is>
          <t>Robotic</t>
        </is>
      </c>
      <c r="E34" s="6" t="n">
        <v>6</v>
      </c>
      <c r="F34" s="6" t="n">
        <v>12000</v>
      </c>
      <c r="G34" s="6" t="n">
        <v>24000</v>
      </c>
      <c r="H34" s="6" t="n">
        <v>48000</v>
      </c>
      <c r="I34" s="6" t="n">
        <v>10800</v>
      </c>
      <c r="J34" s="6" t="n">
        <v>3000</v>
      </c>
      <c r="K34" s="6" t="n">
        <v>2</v>
      </c>
      <c r="L34" s="6" t="n">
        <v>85000</v>
      </c>
      <c r="M34" s="6" t="n">
        <v>20000</v>
      </c>
      <c r="N34" s="6" t="n">
        <v>140000</v>
      </c>
      <c r="O34" s="6">
        <f>SUM(L34:N34)</f>
        <v/>
      </c>
      <c r="P34" s="6" t="n"/>
      <c r="Q34" s="5" t="inlineStr">
        <is>
          <t>CGHS CV016 = 201780 base; robotic premium +150000 (CGHS standard); specialist centre only</t>
        </is>
      </c>
      <c r="R34" s="5" t="inlineStr">
        <is>
          <t>Minimally invasive. Fastest recovery. Specialist centre.</t>
        </is>
      </c>
      <c r="S34" s="21" t="inlineStr">
        <is>
          <t>I25.10</t>
        </is>
      </c>
      <c r="T34" s="22" t="inlineStr">
        <is>
          <t>Atherosclerotic heart disease — robotic CABG / TECAB / MICS-CABG</t>
        </is>
      </c>
      <c r="U34" s="23" t="inlineStr">
        <is>
          <t>Z95.1</t>
        </is>
      </c>
      <c r="V34" s="24" t="inlineStr">
        <is>
          <t>Presence of coronary artery bypass graft (post-op status code)</t>
        </is>
      </c>
    </row>
    <row r="35" ht="30" customHeight="1">
      <c r="A35" s="5" t="inlineStr">
        <is>
          <t>Chemotherapy</t>
        </is>
      </c>
      <c r="B35" s="5" t="inlineStr">
        <is>
          <t>Single Drug Chemotherapy</t>
        </is>
      </c>
      <c r="C35" s="5" t="inlineStr">
        <is>
          <t>Monotherapy Per Cycle (e.g., Taxol/Carboplatin)</t>
        </is>
      </c>
      <c r="D35" s="5" t="inlineStr">
        <is>
          <t>Infusion</t>
        </is>
      </c>
      <c r="E35" s="6" t="n">
        <v>1</v>
      </c>
      <c r="F35" s="6" t="n">
        <v>2000</v>
      </c>
      <c r="G35" s="6" t="n">
        <v>4000</v>
      </c>
      <c r="H35" s="6" t="n">
        <v>8000</v>
      </c>
      <c r="I35" s="6" t="n">
        <v>0</v>
      </c>
      <c r="J35" s="6" t="n">
        <v>0</v>
      </c>
      <c r="K35" s="6" t="n">
        <v>0</v>
      </c>
      <c r="L35" s="6" t="n">
        <v>12800</v>
      </c>
      <c r="M35" s="6" t="n">
        <v>10500</v>
      </c>
      <c r="N35" s="6" t="n">
        <v>0</v>
      </c>
      <c r="O35" s="6">
        <f>SUM(L35:N35)</f>
        <v/>
      </c>
      <c r="P35" s="6" t="n"/>
      <c r="Q35" s="5" t="inlineStr">
        <is>
          <t>CGHS CT001 Single Drug Admin = 1530; drug cost main expense avg 10000-20000 = 15000 (Taxol/Carboplatin)</t>
        </is>
      </c>
      <c r="R35" s="5" t="inlineStr">
        <is>
          <t>Port/PICC access one-time charge. Drug cost variable per agent.</t>
        </is>
      </c>
      <c r="S35" s="21" t="inlineStr">
        <is>
          <t>Z51.11</t>
        </is>
      </c>
      <c r="T35" s="22" t="inlineStr">
        <is>
          <t>Encounter for antineoplastic chemotherapy (primary encounter code)</t>
        </is>
      </c>
      <c r="U35" s="23" t="inlineStr">
        <is>
          <t>C80.1</t>
        </is>
      </c>
      <c r="V35" s="24" t="inlineStr">
        <is>
          <t>Add primary tumour code as additional (e.g. C50.9 breast, C34.90 lung)</t>
        </is>
      </c>
    </row>
    <row r="36" ht="30" customHeight="1">
      <c r="A36" s="5" t="inlineStr">
        <is>
          <t>Chemotherapy</t>
        </is>
      </c>
      <c r="B36" s="5" t="inlineStr">
        <is>
          <t>Multi-Drug Chemotherapy</t>
        </is>
      </c>
      <c r="C36" s="5" t="inlineStr">
        <is>
          <t>Combination Chemo/Targeted/Immunotherapy Per Cycle</t>
        </is>
      </c>
      <c r="D36" s="5" t="inlineStr">
        <is>
          <t>Infusion</t>
        </is>
      </c>
      <c r="E36" s="6" t="n">
        <v>1</v>
      </c>
      <c r="F36" s="6" t="n">
        <v>2000</v>
      </c>
      <c r="G36" s="6" t="n">
        <v>4000</v>
      </c>
      <c r="H36" s="6" t="n">
        <v>8000</v>
      </c>
      <c r="I36" s="6" t="n">
        <v>0</v>
      </c>
      <c r="J36" s="6" t="n">
        <v>0</v>
      </c>
      <c r="K36" s="6" t="n">
        <v>0</v>
      </c>
      <c r="L36" s="6" t="n">
        <v>25500</v>
      </c>
      <c r="M36" s="6" t="n">
        <v>75000</v>
      </c>
      <c r="N36" s="6" t="n">
        <v>0</v>
      </c>
      <c r="O36" s="6">
        <f>SUM(L36:N36)</f>
        <v/>
      </c>
      <c r="P36" s="6" t="n"/>
      <c r="Q36" s="5" t="inlineStr">
        <is>
          <t>CGHS CT002 Multi-Drug = 2070; combination drug avg varies widely; Trastuzumab ~100000/cycle</t>
        </is>
      </c>
      <c r="R36" s="5" t="inlineStr">
        <is>
          <t>GCSF + antiemetics billed separately. Drug cost varies per protocol.</t>
        </is>
      </c>
      <c r="S36" s="21" t="inlineStr">
        <is>
          <t>Z51.11</t>
        </is>
      </c>
      <c r="T36" s="22" t="inlineStr">
        <is>
          <t>Encounter for antineoplastic chemotherapy — combination/multi-drug regimen</t>
        </is>
      </c>
      <c r="U36" s="23" t="inlineStr">
        <is>
          <t>Z51.12</t>
        </is>
      </c>
      <c r="V36" s="24" t="inlineStr">
        <is>
          <t>Add Z51.12 if immunotherapy also administered in same encounter</t>
        </is>
      </c>
    </row>
    <row r="37" ht="30" customHeight="1">
      <c r="A37" s="5" t="inlineStr">
        <is>
          <t>Radiation Therapy</t>
        </is>
      </c>
      <c r="B37" s="5" t="inlineStr">
        <is>
          <t>3D-CRT (Level 3)</t>
        </is>
      </c>
      <c r="C37" s="5" t="inlineStr">
        <is>
          <t>Standard Radical RT - Full Course 25-35 Fractions</t>
        </is>
      </c>
      <c r="D37" s="5" t="inlineStr">
        <is>
          <t>Linear Accelerator</t>
        </is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60000</v>
      </c>
      <c r="M37" s="6" t="n">
        <v>0</v>
      </c>
      <c r="N37" s="6" t="n">
        <v>15000</v>
      </c>
      <c r="O37" s="6">
        <f>SUM(L37:N37)</f>
        <v/>
      </c>
      <c r="P37" s="6" t="n"/>
      <c r="Q37" s="5" t="inlineStr">
        <is>
          <t>CGHS RT008 Level 3 3D-CRT = 45000 (confirmed); CT sim + dosimetry avg 3000-5000 = 5000</t>
        </is>
      </c>
      <c r="R37" s="5" t="inlineStr">
        <is>
          <t>OPD-based. Weekly review consultation.</t>
        </is>
      </c>
      <c r="S37" s="21" t="inlineStr">
        <is>
          <t>Z51.0</t>
        </is>
      </c>
      <c r="T37" s="22" t="inlineStr">
        <is>
          <t>Encounter for antineoplastic radiation therapy (3D-CRT full course)</t>
        </is>
      </c>
      <c r="U37" s="23" t="inlineStr">
        <is>
          <t>C80.1</t>
        </is>
      </c>
      <c r="V37" s="24" t="inlineStr">
        <is>
          <t>Add primary tumour code as additional diagnosis</t>
        </is>
      </c>
    </row>
    <row r="38" ht="30" customHeight="1">
      <c r="A38" s="5" t="inlineStr">
        <is>
          <t>Radiation Therapy</t>
        </is>
      </c>
      <c r="B38" s="5" t="inlineStr">
        <is>
          <t>VMAT (Level 5)</t>
        </is>
      </c>
      <c r="C38" s="5" t="inlineStr">
        <is>
          <t>Precision Conformal RT - Full Course</t>
        </is>
      </c>
      <c r="D38" s="5" t="inlineStr">
        <is>
          <t>Linear Accelerator</t>
        </is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105000</v>
      </c>
      <c r="M38" s="6" t="n">
        <v>0</v>
      </c>
      <c r="N38" s="6" t="n">
        <v>25000</v>
      </c>
      <c r="O38" s="6">
        <f>SUM(L38:N38)</f>
        <v/>
      </c>
      <c r="P38" s="6" t="n"/>
      <c r="Q38" s="5" t="inlineStr">
        <is>
          <t>CGHS RT010 Level 5 IMRT/VMAT = 135000 (confirmed); IGRT &lt;10 sessions included; immobilisation mask avg 3000</t>
        </is>
      </c>
      <c r="R38" s="5" t="inlineStr">
        <is>
          <t>Daily setup verification. IGRT included &lt;10 sessions.</t>
        </is>
      </c>
      <c r="S38" s="21" t="inlineStr">
        <is>
          <t>Z51.0</t>
        </is>
      </c>
      <c r="T38" s="22" t="inlineStr">
        <is>
          <t>Encounter for antineoplastic radiation therapy — VMAT/IMRT precision RT</t>
        </is>
      </c>
      <c r="U38" s="23" t="inlineStr">
        <is>
          <t>C80.1</t>
        </is>
      </c>
      <c r="V38" s="24" t="inlineStr">
        <is>
          <t>Add primary tumour code as additional diagnosis</t>
        </is>
      </c>
    </row>
    <row r="39" ht="30" customHeight="1">
      <c r="A39" s="5" t="inlineStr">
        <is>
          <t>Radiation Therapy</t>
        </is>
      </c>
      <c r="B39" s="5" t="inlineStr">
        <is>
          <t>SBRT/SRS (Level 6)</t>
        </is>
      </c>
      <c r="C39" s="5" t="inlineStr">
        <is>
          <t>Stereotactic High-Dose - 3-5 Fractions</t>
        </is>
      </c>
      <c r="D39" s="5" t="inlineStr">
        <is>
          <t>Linear Accelerator</t>
        </is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125000</v>
      </c>
      <c r="M39" s="6" t="n">
        <v>21000</v>
      </c>
      <c r="N39" s="6" t="n">
        <v>35000</v>
      </c>
      <c r="O39" s="6">
        <f>SUM(L39:N39)</f>
        <v/>
      </c>
      <c r="P39" s="6" t="n"/>
      <c r="Q39" s="5" t="inlineStr">
        <is>
          <t>CGHS RT011 Level 6 SBRT/SRS = 162000 (confirmed); fiducial markers avg 4000-6000 = 5000 incl in implant</t>
        </is>
      </c>
      <c r="R39" s="5" t="inlineStr">
        <is>
          <t>Highest precision. Complex QA. Fiducial markers for liver/lung.</t>
        </is>
      </c>
      <c r="S39" s="21" t="inlineStr">
        <is>
          <t>Z51.0</t>
        </is>
      </c>
      <c r="T39" s="22" t="inlineStr">
        <is>
          <t>Encounter for antineoplastic radiation therapy — SBRT/SRS hypofractionated</t>
        </is>
      </c>
      <c r="U39" s="23" t="inlineStr">
        <is>
          <t>C79.31</t>
        </is>
      </c>
      <c r="V39" s="24" t="inlineStr">
        <is>
          <t>Use C79.31 for brain metastases (SRS); C71.9 for primary brain tumour</t>
        </is>
      </c>
    </row>
    <row r="40" ht="30" customHeight="1">
      <c r="A40" s="5" t="inlineStr">
        <is>
          <t>Dialysis per Session</t>
        </is>
      </c>
      <c r="B40" s="5" t="inlineStr">
        <is>
          <t>Haemodialysis (HD) - Standard</t>
        </is>
      </c>
      <c r="C40" s="5" t="inlineStr">
        <is>
          <t>Per Session 4h - Sero-Negative</t>
        </is>
      </c>
      <c r="D40" s="5" t="inlineStr">
        <is>
          <t>HD Machine</t>
        </is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1300</v>
      </c>
      <c r="M40" s="6" t="n">
        <v>1500</v>
      </c>
      <c r="N40" s="6" t="n">
        <v>0</v>
      </c>
      <c r="O40" s="6">
        <f>SUM(L40:N40)</f>
        <v/>
      </c>
      <c r="P40" s="6" t="n"/>
      <c r="Q40" s="5" t="inlineStr">
        <is>
          <t>CGHS NU122 HD Sero-Negative incl dialyser = 2250 (confirmed); AV fistula one-time NU106 = 17100</t>
        </is>
      </c>
      <c r="R40" s="5" t="inlineStr">
        <is>
          <t>Thrice weekly. EPO + IV iron billed separately.</t>
        </is>
      </c>
      <c r="S40" s="21" t="inlineStr">
        <is>
          <t>N18.6</t>
        </is>
      </c>
      <c r="T40" s="22" t="inlineStr">
        <is>
          <t>End-stage renal disease (ESRD) — on chronic haemodialysis</t>
        </is>
      </c>
      <c r="U40" s="23" t="inlineStr">
        <is>
          <t>Z99.2</t>
        </is>
      </c>
      <c r="V40" s="24" t="inlineStr">
        <is>
          <t>Dependence on renal dialysis (mandatory additional code per ICD-10 guidelines)</t>
        </is>
      </c>
    </row>
    <row r="41" ht="30" customHeight="1">
      <c r="A41" s="5" t="inlineStr">
        <is>
          <t>Dialysis per Session</t>
        </is>
      </c>
      <c r="B41" s="5" t="inlineStr">
        <is>
          <t>Haemodialysis - Sero Positive</t>
        </is>
      </c>
      <c r="C41" s="5" t="inlineStr">
        <is>
          <t>Per Session - HIV+/HBsAg+ - Isolated Machine</t>
        </is>
      </c>
      <c r="D41" s="5" t="inlineStr">
        <is>
          <t>HD Machine</t>
        </is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1800</v>
      </c>
      <c r="M41" s="6" t="n">
        <v>2800</v>
      </c>
      <c r="N41" s="6" t="n">
        <v>0</v>
      </c>
      <c r="O41" s="6">
        <f>SUM(L41:N41)</f>
        <v/>
      </c>
      <c r="P41" s="6" t="n"/>
      <c r="Q41" s="5" t="inlineStr">
        <is>
          <t>CGHS NU123 HD Sero-Positive incl dialyser = 2700 (confirmed); dedicated machine + PPE</t>
        </is>
      </c>
      <c r="R41" s="5" t="inlineStr">
        <is>
          <t>Full PPE. HBsAg: isolated room/bay.</t>
        </is>
      </c>
      <c r="S41" s="21" t="inlineStr">
        <is>
          <t>N18.6</t>
        </is>
      </c>
      <c r="T41" s="22" t="inlineStr">
        <is>
          <t>End-stage renal disease on haemodialysis — seropositive patient</t>
        </is>
      </c>
      <c r="U41" s="23" t="inlineStr">
        <is>
          <t>B18.1</t>
        </is>
      </c>
      <c r="V41" s="24" t="inlineStr">
        <is>
          <t>Chronic viral hepatitis B (use B18.2 for HCV; B20 for HIV) + Z99.2 dialysis</t>
        </is>
      </c>
    </row>
    <row r="42" ht="30" customHeight="1">
      <c r="A42" s="5" t="inlineStr">
        <is>
          <t>Dialysis per Session</t>
        </is>
      </c>
      <c r="B42" s="5" t="inlineStr">
        <is>
          <t>Online Haemodiafiltration HDF</t>
        </is>
      </c>
      <c r="C42" s="5" t="inlineStr">
        <is>
          <t>Per Session - High-Volume HDF</t>
        </is>
      </c>
      <c r="D42" s="5" t="inlineStr">
        <is>
          <t>HDF Machine</t>
        </is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3500</v>
      </c>
      <c r="M42" s="6" t="n">
        <v>4500</v>
      </c>
      <c r="N42" s="6" t="n">
        <v>0</v>
      </c>
      <c r="O42" s="6">
        <f>SUM(L42:N42)</f>
        <v/>
      </c>
      <c r="P42" s="6" t="n"/>
      <c r="Q42" s="5" t="inlineStr">
        <is>
          <t>CGHS NU122 = 2250 base; HDF surcharge over HD avg 500-1000; ultra-pure water system required</t>
        </is>
      </c>
      <c r="R42" s="5" t="inlineStr">
        <is>
          <t>Better middle molecule clearance. Ultra-pure water required.</t>
        </is>
      </c>
      <c r="S42" s="21" t="inlineStr">
        <is>
          <t>N18.6</t>
        </is>
      </c>
      <c r="T42" s="22" t="inlineStr">
        <is>
          <t>End-stage renal disease — online haemodiafiltration (HDF) high-volume</t>
        </is>
      </c>
      <c r="U42" s="23" t="inlineStr">
        <is>
          <t>Z99.2</t>
        </is>
      </c>
      <c r="V42" s="24" t="inlineStr">
        <is>
          <t>Dependence on renal dialysis (add always for dialysis encounters)</t>
        </is>
      </c>
    </row>
    <row r="43" ht="30" customHeight="1">
      <c r="A43" s="5" t="inlineStr">
        <is>
          <t>Neurosurgery - Brain Tumor</t>
        </is>
      </c>
      <c r="B43" s="5" t="inlineStr">
        <is>
          <t>Image Guided Craniotomy</t>
        </is>
      </c>
      <c r="C43" s="5" t="inlineStr">
        <is>
          <t>Tumor Excision - Supratentorial</t>
        </is>
      </c>
      <c r="D43" s="5" t="inlineStr">
        <is>
          <t>Open + Neuronavigation</t>
        </is>
      </c>
      <c r="E43" s="6" t="n">
        <v>10</v>
      </c>
      <c r="F43" s="6" t="n">
        <v>20000</v>
      </c>
      <c r="G43" s="6" t="n">
        <v>40000</v>
      </c>
      <c r="H43" s="6" t="n">
        <v>80000</v>
      </c>
      <c r="I43" s="6" t="n">
        <v>16200</v>
      </c>
      <c r="J43" s="6" t="n">
        <v>3000</v>
      </c>
      <c r="K43" s="6" t="n">
        <v>3</v>
      </c>
      <c r="L43" s="6" t="n">
        <v>72500</v>
      </c>
      <c r="M43" s="6" t="n">
        <v>25000</v>
      </c>
      <c r="N43" s="6" t="n">
        <v>15000</v>
      </c>
      <c r="O43" s="6">
        <f>SUM(L43:N43)</f>
        <v/>
      </c>
      <c r="P43" s="6" t="n"/>
      <c r="Q43" s="5" t="inlineStr">
        <is>
          <t>CGHS NS060 Image Guided Craniotomy = 70110 (confirmed); neuronavigation consumable avg 15000-25000 = 20000</t>
        </is>
      </c>
      <c r="R43" s="5" t="inlineStr">
        <is>
          <t>BrainLab/StealthStation. CUSA. ICU 3 days.</t>
        </is>
      </c>
      <c r="S43" s="21" t="inlineStr">
        <is>
          <t>C71.9</t>
        </is>
      </c>
      <c r="T43" s="22" t="inlineStr">
        <is>
          <t>Malignant neoplasm of brain, unspecified (supratentorial craniotomy)</t>
        </is>
      </c>
      <c r="U43" s="23" t="inlineStr">
        <is>
          <t>D33.2</t>
        </is>
      </c>
      <c r="V43" s="24" t="inlineStr">
        <is>
          <t>Use D33.2 for benign brain tumour; C71.1/C71.2 by lobe if site known</t>
        </is>
      </c>
    </row>
    <row r="44" ht="30" customHeight="1">
      <c r="A44" s="5" t="inlineStr">
        <is>
          <t>Neurosurgery - Brain Tumor</t>
        </is>
      </c>
      <c r="B44" s="5" t="inlineStr">
        <is>
          <t>Image Guided Craniotomy</t>
        </is>
      </c>
      <c r="C44" s="5" t="inlineStr">
        <is>
          <t>Skull Base / Posterior Fossa Tumor</t>
        </is>
      </c>
      <c r="D44" s="5" t="inlineStr">
        <is>
          <t>Open + Neuronavigation</t>
        </is>
      </c>
      <c r="E44" s="6" t="n">
        <v>12</v>
      </c>
      <c r="F44" s="6" t="n">
        <v>24000</v>
      </c>
      <c r="G44" s="6" t="n">
        <v>48000</v>
      </c>
      <c r="H44" s="6" t="n">
        <v>96000</v>
      </c>
      <c r="I44" s="6" t="n">
        <v>21600</v>
      </c>
      <c r="J44" s="6" t="n">
        <v>6000</v>
      </c>
      <c r="K44" s="6" t="n">
        <v>4</v>
      </c>
      <c r="L44" s="6" t="n">
        <v>160000</v>
      </c>
      <c r="M44" s="6" t="n">
        <v>55000</v>
      </c>
      <c r="N44" s="6" t="n">
        <v>40000</v>
      </c>
      <c r="O44" s="6">
        <f>SUM(L44:N44)</f>
        <v/>
      </c>
      <c r="P44" s="6" t="n"/>
      <c r="Q44" s="5" t="inlineStr">
        <is>
          <t>Intraop neuromonitoring SSEP/MEP avg 10000-20000 = 15000 extra (not in this package)</t>
        </is>
      </c>
      <c r="R44" s="5" t="inlineStr">
        <is>
          <t>CN at risk. Intraop neuromonitoring SSEP/MEP/CN ~15000 extra. ICU 4 days.</t>
        </is>
      </c>
      <c r="S44" s="21" t="inlineStr">
        <is>
          <t>C71.6</t>
        </is>
      </c>
      <c r="T44" s="22" t="inlineStr">
        <is>
          <t>Malignant neoplasm of cerebellum (posterior fossa / infratentorial)</t>
        </is>
      </c>
      <c r="U44" s="23" t="inlineStr">
        <is>
          <t>C71.7</t>
        </is>
      </c>
      <c r="V44" s="24" t="inlineStr">
        <is>
          <t>Use C71.7 for brain stem tumour; D33.3 for benign posterior fossa</t>
        </is>
      </c>
    </row>
    <row r="45" ht="30" customHeight="1">
      <c r="A45" s="5" t="inlineStr">
        <is>
          <t>Neurosurgery - Brain Tumor</t>
        </is>
      </c>
      <c r="B45" s="5" t="inlineStr">
        <is>
          <t>Stereotactic Brain Biopsy</t>
        </is>
      </c>
      <c r="C45" s="5" t="inlineStr">
        <is>
          <t>Frameless/CT-Guided Biopsy for Diagnosis</t>
        </is>
      </c>
      <c r="D45" s="5" t="inlineStr">
        <is>
          <t>Robotic/Frameless</t>
        </is>
      </c>
      <c r="E45" s="6" t="n">
        <v>3</v>
      </c>
      <c r="F45" s="6" t="n">
        <v>6000</v>
      </c>
      <c r="G45" s="6" t="n">
        <v>12000</v>
      </c>
      <c r="H45" s="6" t="n">
        <v>24000</v>
      </c>
      <c r="I45" s="6" t="n">
        <v>5400</v>
      </c>
      <c r="J45" s="6" t="n">
        <v>0</v>
      </c>
      <c r="K45" s="6" t="n">
        <v>1</v>
      </c>
      <c r="L45" s="6" t="n">
        <v>56000</v>
      </c>
      <c r="M45" s="6" t="n">
        <v>10000</v>
      </c>
      <c r="N45" s="6" t="n">
        <v>100000</v>
      </c>
      <c r="O45" s="6">
        <f>SUM(L45:N45)</f>
        <v/>
      </c>
      <c r="P45" s="6" t="n"/>
      <c r="Q45" s="5" t="inlineStr">
        <is>
          <t>CGHS NS067 Endoscopic cranial biopsy = 53865; robotic/frameless navigation adds 150000 premium</t>
        </is>
      </c>
      <c r="R45" s="5" t="inlineStr">
        <is>
          <t>Yield 90-95%. ICU overnight.</t>
        </is>
      </c>
      <c r="S45" s="21" t="inlineStr">
        <is>
          <t>D49.6</t>
        </is>
      </c>
      <c r="T45" s="22" t="inlineStr">
        <is>
          <t>Neoplasm of unspecified behavior of brain (pre-HPE diagnosis unknown)</t>
        </is>
      </c>
      <c r="U45" s="23" t="inlineStr">
        <is>
          <t>C71.9</t>
        </is>
      </c>
      <c r="V45" s="24" t="inlineStr">
        <is>
          <t>Use C71.9 if pre-biopsy imaging strongly suggests high-grade glioma</t>
        </is>
      </c>
    </row>
    <row r="46" ht="30" customHeight="1">
      <c r="A46" s="5" t="inlineStr">
        <is>
          <t>Neurosurgery - Brain Tumor</t>
        </is>
      </c>
      <c r="B46" s="5" t="inlineStr">
        <is>
          <t>Awake Craniotomy</t>
        </is>
      </c>
      <c r="C46" s="5" t="inlineStr">
        <is>
          <t>Eloquent Area Tumor - Awake Brain Mapping</t>
        </is>
      </c>
      <c r="D46" s="5" t="inlineStr">
        <is>
          <t>Open + Intraop Mapping</t>
        </is>
      </c>
      <c r="E46" s="6" t="n">
        <v>10</v>
      </c>
      <c r="F46" s="6" t="n">
        <v>20000</v>
      </c>
      <c r="G46" s="6" t="n">
        <v>40000</v>
      </c>
      <c r="H46" s="6" t="n">
        <v>80000</v>
      </c>
      <c r="I46" s="6" t="n">
        <v>16200</v>
      </c>
      <c r="J46" s="6" t="n">
        <v>3000</v>
      </c>
      <c r="K46" s="6" t="n">
        <v>3</v>
      </c>
      <c r="L46" s="6" t="n">
        <v>180000</v>
      </c>
      <c r="M46" s="6" t="n">
        <v>45000</v>
      </c>
      <c r="N46" s="6" t="n">
        <v>85000</v>
      </c>
      <c r="O46" s="6">
        <f>SUM(L46:N46)</f>
        <v/>
      </c>
      <c r="P46" s="6" t="n"/>
      <c r="Q46" s="5" t="inlineStr">
        <is>
          <t>NS060 = 70110; intraop mapping consumables avg 20000-30000 = 25000; no robotic premium</t>
        </is>
      </c>
      <c r="R46" s="5" t="inlineStr">
        <is>
          <t>Language/motor mapping. Neuropsychologist intraop.</t>
        </is>
      </c>
      <c r="S46" s="21" t="inlineStr">
        <is>
          <t>C71.9</t>
        </is>
      </c>
      <c r="T46" s="22" t="inlineStr">
        <is>
          <t>Malignant neoplasm of brain — eloquent cortex / functional area tumour</t>
        </is>
      </c>
      <c r="U46" s="23" t="inlineStr">
        <is>
          <t>C71.1</t>
        </is>
      </c>
      <c r="V46" s="24" t="inlineStr">
        <is>
          <t>Use C71.1 frontal, C71.3 parietal, C71.0 cerebrum for more specific site</t>
        </is>
      </c>
    </row>
    <row r="47" ht="30" customHeight="1">
      <c r="A47" s="5" t="inlineStr">
        <is>
          <t>Spinal Surgery</t>
        </is>
      </c>
      <c r="B47" s="5" t="inlineStr">
        <is>
          <t>Lumbar Discectomy / Microdiscectomy</t>
        </is>
      </c>
      <c r="C47" s="5" t="inlineStr">
        <is>
          <t>Open Microdiscectomy - PIVD</t>
        </is>
      </c>
      <c r="D47" s="5" t="inlineStr">
        <is>
          <t>Open + Microscope</t>
        </is>
      </c>
      <c r="E47" s="6" t="n">
        <v>3</v>
      </c>
      <c r="F47" s="6" t="n">
        <v>6000</v>
      </c>
      <c r="G47" s="6" t="n">
        <v>12000</v>
      </c>
      <c r="H47" s="6" t="n">
        <v>24000</v>
      </c>
      <c r="I47" s="6" t="n">
        <v>0</v>
      </c>
      <c r="J47" s="6" t="n">
        <v>0</v>
      </c>
      <c r="K47" s="6" t="n">
        <v>0</v>
      </c>
      <c r="L47" s="6" t="n">
        <v>45000</v>
      </c>
      <c r="M47" s="6" t="n">
        <v>12000</v>
      </c>
      <c r="N47" s="6" t="n">
        <v>0</v>
      </c>
      <c r="O47" s="6">
        <f>SUM(L47:N47)</f>
        <v/>
      </c>
      <c r="P47" s="6" t="n"/>
      <c r="Q47" s="5" t="inlineStr">
        <is>
          <t>CGHS NS032/OR115 Lumbar Discectomy = 53865; microscope disposables avg 4000-6000 = 5000</t>
        </is>
      </c>
      <c r="R47" s="5" t="inlineStr">
        <is>
          <t>No implants for simple discectomy. LOS 2-4 days.</t>
        </is>
      </c>
      <c r="S47" s="21" t="inlineStr">
        <is>
          <t>M51.16</t>
        </is>
      </c>
      <c r="T47" s="22" t="inlineStr">
        <is>
          <t>Intervertebral disc degeneration, lumbar region (PIVD / disc prolapse)</t>
        </is>
      </c>
      <c r="U47" s="23" t="inlineStr">
        <is>
          <t>M54.4</t>
        </is>
      </c>
      <c r="V47" s="24" t="inlineStr">
        <is>
          <t>Lumbago with sciatica (add as symptom code if radiculopathy present)</t>
        </is>
      </c>
    </row>
    <row r="48" ht="30" customHeight="1">
      <c r="A48" s="5" t="inlineStr">
        <is>
          <t>Spinal Surgery</t>
        </is>
      </c>
      <c r="B48" s="5" t="inlineStr">
        <is>
          <t>Endoscopic Discectomy</t>
        </is>
      </c>
      <c r="C48" s="5" t="inlineStr">
        <is>
          <t>Full Endoscopic - Lumbar/Cervical</t>
        </is>
      </c>
      <c r="D48" s="5" t="inlineStr">
        <is>
          <t>Endoscopic</t>
        </is>
      </c>
      <c r="E48" s="6" t="n">
        <v>2</v>
      </c>
      <c r="F48" s="6" t="n">
        <v>4000</v>
      </c>
      <c r="G48" s="6" t="n">
        <v>8000</v>
      </c>
      <c r="H48" s="6" t="n">
        <v>16000</v>
      </c>
      <c r="I48" s="6" t="n">
        <v>0</v>
      </c>
      <c r="J48" s="6" t="n">
        <v>0</v>
      </c>
      <c r="K48" s="6" t="n">
        <v>0</v>
      </c>
      <c r="L48" s="6" t="n">
        <v>52000</v>
      </c>
      <c r="M48" s="6" t="n">
        <v>18000</v>
      </c>
      <c r="N48" s="6" t="n">
        <v>25000</v>
      </c>
      <c r="O48" s="6">
        <f>SUM(L48:N48)</f>
        <v/>
      </c>
      <c r="P48" s="6" t="n"/>
      <c r="Q48" s="5" t="inlineStr">
        <is>
          <t>CGHS NS068 Endoscopic Discectomy = 53865; endoscope+working channel avg 12000-18000 = 15000; endoscopic +15000</t>
        </is>
      </c>
      <c r="R48" s="5" t="inlineStr">
        <is>
          <t>Day care to 2 days. Fastest recovery.</t>
        </is>
      </c>
      <c r="S48" s="21" t="inlineStr">
        <is>
          <t>M51.16</t>
        </is>
      </c>
      <c r="T48" s="22" t="inlineStr">
        <is>
          <t>Intervertebral disc degeneration, lumbar region (endoscopic approach)</t>
        </is>
      </c>
      <c r="U48" s="23" t="inlineStr">
        <is>
          <t>M50.12</t>
        </is>
      </c>
      <c r="V48" s="24" t="inlineStr">
        <is>
          <t>Use M50.12 for cervical disc disorder with radiculopathy (C5-C6 level)</t>
        </is>
      </c>
    </row>
    <row r="49" ht="30" customHeight="1">
      <c r="A49" s="5" t="inlineStr">
        <is>
          <t>Spinal Surgery</t>
        </is>
      </c>
      <c r="B49" s="5" t="inlineStr">
        <is>
          <t>Spinal Fusion 2-Level</t>
        </is>
      </c>
      <c r="C49" s="5" t="inlineStr">
        <is>
          <t>PLIF/TLIF/ALIF - Cervical or Lumbar 2 Levels</t>
        </is>
      </c>
      <c r="D49" s="5" t="inlineStr">
        <is>
          <t>Open</t>
        </is>
      </c>
      <c r="E49" s="6" t="n">
        <v>7</v>
      </c>
      <c r="F49" s="6" t="n">
        <v>14000</v>
      </c>
      <c r="G49" s="6" t="n">
        <v>28000</v>
      </c>
      <c r="H49" s="6" t="n">
        <v>56000</v>
      </c>
      <c r="I49" s="6" t="n">
        <v>0</v>
      </c>
      <c r="J49" s="6" t="n">
        <v>0</v>
      </c>
      <c r="K49" s="6" t="n">
        <v>0</v>
      </c>
      <c r="L49" s="6" t="n">
        <v>72000</v>
      </c>
      <c r="M49" s="6" t="n">
        <v>85000</v>
      </c>
      <c r="N49" s="6" t="n">
        <v>0</v>
      </c>
      <c r="O49" s="6">
        <f>SUM(L49:N49)</f>
        <v/>
      </c>
      <c r="P49" s="6" t="n"/>
      <c r="Q49" s="5" t="inlineStr">
        <is>
          <t>CGHS OR117 Fusion 2 Level = 53865; pedicle screws+rods+cage+graft avg 70000-90000 = 80000</t>
        </is>
      </c>
      <c r="R49" s="5" t="inlineStr">
        <is>
          <t>Fusion CT at 6 months. LOS 6-8 days.</t>
        </is>
      </c>
      <c r="S49" s="21" t="inlineStr">
        <is>
          <t>M43.16</t>
        </is>
      </c>
      <c r="T49" s="22" t="inlineStr">
        <is>
          <t>Spondylolisthesis, lumbar region (most common 2-level fusion indication)</t>
        </is>
      </c>
      <c r="U49" s="23" t="inlineStr">
        <is>
          <t>M43.12</t>
        </is>
      </c>
      <c r="V49" s="24" t="inlineStr">
        <is>
          <t>Use M43.12 for cervical spondylolisthesis; M47.816 for spondylosis</t>
        </is>
      </c>
    </row>
    <row r="50" ht="30" customHeight="1">
      <c r="A50" s="5" t="inlineStr">
        <is>
          <t>Spinal Surgery</t>
        </is>
      </c>
      <c r="B50" s="5" t="inlineStr">
        <is>
          <t>Spinal Fusion Multi-Level</t>
        </is>
      </c>
      <c r="C50" s="5" t="inlineStr">
        <is>
          <t>&gt;2 Level - Complex Deformity/Instability</t>
        </is>
      </c>
      <c r="D50" s="5" t="inlineStr">
        <is>
          <t>Open</t>
        </is>
      </c>
      <c r="E50" s="6" t="n">
        <v>10</v>
      </c>
      <c r="F50" s="6" t="n">
        <v>20000</v>
      </c>
      <c r="G50" s="6" t="n">
        <v>40000</v>
      </c>
      <c r="H50" s="6" t="n">
        <v>80000</v>
      </c>
      <c r="I50" s="6" t="n">
        <v>10800</v>
      </c>
      <c r="J50" s="6" t="n">
        <v>3000</v>
      </c>
      <c r="K50" s="6" t="n">
        <v>2</v>
      </c>
      <c r="L50" s="6" t="n">
        <v>105000</v>
      </c>
      <c r="M50" s="6" t="n">
        <v>145000</v>
      </c>
      <c r="N50" s="6" t="n">
        <v>0</v>
      </c>
      <c r="O50" s="6">
        <f>SUM(L50:N50)</f>
        <v/>
      </c>
      <c r="P50" s="6" t="n"/>
      <c r="Q50" s="5" t="inlineStr">
        <is>
          <t>CGHS OR118 Fusion &gt;2 Level = 70110; multi-level implants avg 130000-170000 = 150000; intraop monitoring extra</t>
        </is>
      </c>
      <c r="R50" s="5" t="inlineStr">
        <is>
          <t>Intraop neuromonitoring mandatory ~20000. ICU 2-3 days.</t>
        </is>
      </c>
      <c r="S50" s="21" t="inlineStr">
        <is>
          <t>M43.10</t>
        </is>
      </c>
      <c r="T50" s="22" t="inlineStr">
        <is>
          <t>Spondylolisthesis, site unspecified (multi-level / complex deformity)</t>
        </is>
      </c>
      <c r="U50" s="23" t="inlineStr">
        <is>
          <t>M41.20</t>
        </is>
      </c>
      <c r="V50" s="24" t="inlineStr">
        <is>
          <t>Use M41.20 for neuromuscular scoliosis; M41.9 idiopathic scoliosis</t>
        </is>
      </c>
    </row>
    <row r="51" ht="30" customHeight="1">
      <c r="A51" s="5" t="inlineStr">
        <is>
          <t>Spinal Surgery</t>
        </is>
      </c>
      <c r="B51" s="5" t="inlineStr">
        <is>
          <t>Robotic Spinal Fusion</t>
        </is>
      </c>
      <c r="C51" s="5" t="inlineStr">
        <is>
          <t>Robot-Assisted Pedicle Screw Placement</t>
        </is>
      </c>
      <c r="D51" s="5" t="inlineStr">
        <is>
          <t>Robotic</t>
        </is>
      </c>
      <c r="E51" s="6" t="n">
        <v>8</v>
      </c>
      <c r="F51" s="6" t="n">
        <v>16000</v>
      </c>
      <c r="G51" s="6" t="n">
        <v>32000</v>
      </c>
      <c r="H51" s="6" t="n">
        <v>64000</v>
      </c>
      <c r="I51" s="6" t="n">
        <v>10800</v>
      </c>
      <c r="J51" s="6" t="n">
        <v>3000</v>
      </c>
      <c r="K51" s="6" t="n">
        <v>2</v>
      </c>
      <c r="L51" s="6" t="n">
        <v>88000</v>
      </c>
      <c r="M51" s="6" t="n">
        <v>85000</v>
      </c>
      <c r="N51" s="6" t="n">
        <v>150000</v>
      </c>
      <c r="O51" s="6">
        <f>SUM(L51:N51)</f>
        <v/>
      </c>
      <c r="P51" s="6" t="n"/>
      <c r="Q51" s="5" t="inlineStr">
        <is>
          <t>CGHS OR118 = 70110 base; robotic premium +150000; implants 150000; superior screw accuracy</t>
        </is>
      </c>
      <c r="R51" s="5" t="inlineStr">
        <is>
          <t>Less radiation exposure. Faster recovery.</t>
        </is>
      </c>
      <c r="S51" s="21" t="inlineStr">
        <is>
          <t>M43.16</t>
        </is>
      </c>
      <c r="T51" s="22" t="inlineStr">
        <is>
          <t>Spondylolisthesis, lumbar region — robotic pedicle screw fusion</t>
        </is>
      </c>
      <c r="U51" s="23" t="inlineStr">
        <is>
          <t>M43.12</t>
        </is>
      </c>
      <c r="V51" s="24" t="inlineStr">
        <is>
          <t>Use M43.12 for cervical; M41.9 if deformity correction is primary indication</t>
        </is>
      </c>
    </row>
    <row r="52" ht="30" customHeight="1">
      <c r="A52" s="7" t="inlineStr">
        <is>
          <t>Diagnostics</t>
        </is>
      </c>
      <c r="B52" s="7" t="inlineStr">
        <is>
          <t>HbA1c + Diabetes Panel</t>
        </is>
      </c>
      <c r="C52" s="7" t="inlineStr">
        <is>
          <t>Fasting 8-10h required</t>
        </is>
      </c>
      <c r="D52" s="7" t="inlineStr">
        <is>
          <t>Pathology Lab</t>
        </is>
      </c>
      <c r="E52" s="8" t="n">
        <v>0</v>
      </c>
      <c r="F52" s="8" t="n">
        <v>0</v>
      </c>
      <c r="G52" s="8" t="n">
        <v>0</v>
      </c>
      <c r="H52" s="8" t="n">
        <v>0</v>
      </c>
      <c r="I52" s="8" t="n"/>
      <c r="J52" s="8" t="n">
        <v>0</v>
      </c>
      <c r="K52" s="8" t="n">
        <v>0</v>
      </c>
      <c r="L52" s="8" t="n"/>
      <c r="M52" s="8" t="n"/>
      <c r="N52" s="8" t="n"/>
      <c r="O52" s="8" t="n">
        <v>1200</v>
      </c>
      <c r="P52" s="8" t="n"/>
      <c r="Q52" s="7" t="inlineStr">
        <is>
          <t>T2 avg HbA1c panel rate = 650 INR (CGHS DP063/DP064 basis)</t>
        </is>
      </c>
      <c r="R52" s="7" t="inlineStr">
        <is>
          <t>Fasting 8-10h. Includes FBS, PPBS, HbA1c, Insulin. Resume diet immediately.</t>
        </is>
      </c>
      <c r="S52" s="21" t="inlineStr">
        <is>
          <t>E11.65</t>
        </is>
      </c>
      <c r="T52" s="22" t="inlineStr">
        <is>
          <t>Type 2 diabetes mellitus with hyperglycaemia (known DM monitoring)</t>
        </is>
      </c>
      <c r="U52" s="23" t="inlineStr">
        <is>
          <t>Z13.1</t>
        </is>
      </c>
      <c r="V52" s="24" t="inlineStr">
        <is>
          <t>Use Z13.1 Encounter for screening for diabetes mellitus (if new/screening)</t>
        </is>
      </c>
    </row>
    <row r="53" ht="30" customHeight="1">
      <c r="A53" s="7" t="inlineStr">
        <is>
          <t>Diagnostics</t>
        </is>
      </c>
      <c r="B53" s="7" t="inlineStr">
        <is>
          <t>Lipid Profile + Cardiac Risk</t>
        </is>
      </c>
      <c r="C53" s="7" t="inlineStr">
        <is>
          <t>Fasting 10-12h mandatory</t>
        </is>
      </c>
      <c r="D53" s="7" t="inlineStr">
        <is>
          <t>Pathology Lab</t>
        </is>
      </c>
      <c r="E53" s="8" t="n">
        <v>0</v>
      </c>
      <c r="F53" s="8" t="n">
        <v>0</v>
      </c>
      <c r="G53" s="8" t="n">
        <v>0</v>
      </c>
      <c r="H53" s="8" t="n">
        <v>0</v>
      </c>
      <c r="I53" s="8" t="n"/>
      <c r="J53" s="8" t="n">
        <v>0</v>
      </c>
      <c r="K53" s="8" t="n">
        <v>0</v>
      </c>
      <c r="L53" s="8" t="n"/>
      <c r="M53" s="8" t="n"/>
      <c r="N53" s="8" t="n"/>
      <c r="O53" s="8" t="n">
        <v>800</v>
      </c>
      <c r="P53" s="8" t="n"/>
      <c r="Q53" s="7" t="inlineStr">
        <is>
          <t>T2 avg Lipid Profile = 500 INR (TC+TG+HDL+LDL+VLDL)</t>
        </is>
      </c>
      <c r="R53" s="7" t="inlineStr">
        <is>
          <t>10-12h fast. Water allowed. Resume diet post-draw. Non-HDL cholesterol = TC minus HDL.</t>
        </is>
      </c>
      <c r="S53" s="21" t="inlineStr">
        <is>
          <t>E78.5</t>
        </is>
      </c>
      <c r="T53" s="22" t="inlineStr">
        <is>
          <t>Hyperlipidaemia, unspecified (lipid disorder — statin monitoring / screening)</t>
        </is>
      </c>
      <c r="U53" s="23" t="inlineStr">
        <is>
          <t>Z13.220</t>
        </is>
      </c>
      <c r="V53" s="24" t="inlineStr">
        <is>
          <t>Use Z13.220 Encounter for screening for lipoid disorders (if asymptomatic)</t>
        </is>
      </c>
    </row>
    <row r="54" ht="30" customHeight="1">
      <c r="A54" s="7" t="inlineStr">
        <is>
          <t>Diagnostics</t>
        </is>
      </c>
      <c r="B54" s="7" t="inlineStr">
        <is>
          <t>Kidney Function Test (KFT)</t>
        </is>
      </c>
      <c r="C54" s="7" t="inlineStr">
        <is>
          <t>No fasting required</t>
        </is>
      </c>
      <c r="D54" s="7" t="inlineStr">
        <is>
          <t>Pathology Lab</t>
        </is>
      </c>
      <c r="E54" s="8" t="n">
        <v>0</v>
      </c>
      <c r="F54" s="8" t="n">
        <v>0</v>
      </c>
      <c r="G54" s="8" t="n">
        <v>0</v>
      </c>
      <c r="H54" s="8" t="n">
        <v>0</v>
      </c>
      <c r="I54" s="8" t="n"/>
      <c r="J54" s="8" t="n">
        <v>0</v>
      </c>
      <c r="K54" s="8" t="n">
        <v>0</v>
      </c>
      <c r="L54" s="8" t="n"/>
      <c r="M54" s="8" t="n"/>
      <c r="N54" s="8" t="n"/>
      <c r="O54" s="8" t="n">
        <v>700</v>
      </c>
      <c r="P54" s="8" t="n"/>
      <c r="Q54" s="7" t="inlineStr">
        <is>
          <t>T2 avg KFT panel = 450 INR (Creatinine, Urea, Electrolytes)</t>
        </is>
      </c>
      <c r="R54" s="7" t="inlineStr">
        <is>
          <t>No fasting needed. Avoid high protein meal night before. Hydrate well pre-draw.</t>
        </is>
      </c>
      <c r="S54" s="21" t="inlineStr">
        <is>
          <t>N18.9</t>
        </is>
      </c>
      <c r="T54" s="22" t="inlineStr">
        <is>
          <t>Chronic kidney disease, unspecified (CKD monitoring / pre-contrast check)</t>
        </is>
      </c>
      <c r="U54" s="23" t="inlineStr">
        <is>
          <t>Z13.89</t>
        </is>
      </c>
      <c r="V54" s="24" t="inlineStr">
        <is>
          <t>Use Z13.89 Encounter for screening for other disorders (if asymptomatic)</t>
        </is>
      </c>
    </row>
    <row r="55" ht="30" customHeight="1">
      <c r="A55" s="7" t="inlineStr">
        <is>
          <t>Diagnostics</t>
        </is>
      </c>
      <c r="B55" s="7" t="inlineStr">
        <is>
          <t>Liver Function Test (LFT)</t>
        </is>
      </c>
      <c r="C55" s="7" t="inlineStr">
        <is>
          <t>No fasting</t>
        </is>
      </c>
      <c r="D55" s="7" t="inlineStr">
        <is>
          <t>Pathology Lab</t>
        </is>
      </c>
      <c r="E55" s="8" t="n">
        <v>0</v>
      </c>
      <c r="F55" s="8" t="n">
        <v>0</v>
      </c>
      <c r="G55" s="8" t="n">
        <v>0</v>
      </c>
      <c r="H55" s="8" t="n">
        <v>0</v>
      </c>
      <c r="I55" s="8" t="n"/>
      <c r="J55" s="8" t="n">
        <v>0</v>
      </c>
      <c r="K55" s="8" t="n">
        <v>0</v>
      </c>
      <c r="L55" s="8" t="n"/>
      <c r="M55" s="8" t="n"/>
      <c r="N55" s="8" t="n"/>
      <c r="O55" s="8" t="n">
        <v>700</v>
      </c>
      <c r="P55" s="8" t="n"/>
      <c r="Q55" s="7" t="inlineStr">
        <is>
          <t>T2 avg LFT panel = 600 INR (SGOT, SGPT, ALP, Bilirubin, Albumin)</t>
        </is>
      </c>
      <c r="R55" s="7" t="inlineStr">
        <is>
          <t>Lab-dependent fasting. Add INR if liver failure suspected.</t>
        </is>
      </c>
      <c r="S55" s="21" t="inlineStr">
        <is>
          <t>K76.0</t>
        </is>
      </c>
      <c r="T55" s="22" t="inlineStr">
        <is>
          <t>Fatty (change of) liver NAFLD / NASH (most common LFT indication in India)</t>
        </is>
      </c>
      <c r="U55" s="23" t="inlineStr">
        <is>
          <t>K76.9</t>
        </is>
      </c>
      <c r="V55" s="24" t="inlineStr">
        <is>
          <t>Use K76.9 Liver disease unspecified; or K70.0 alcoholic fatty liver</t>
        </is>
      </c>
    </row>
    <row r="56" ht="30" customHeight="1">
      <c r="A56" s="7" t="inlineStr">
        <is>
          <t>Diagnostics</t>
        </is>
      </c>
      <c r="B56" s="7" t="inlineStr">
        <is>
          <t>Dengue NS1 Antigen</t>
        </is>
      </c>
      <c r="C56" s="7" t="inlineStr">
        <is>
          <t>Fever Day 1-5; no prep</t>
        </is>
      </c>
      <c r="D56" s="7" t="inlineStr">
        <is>
          <t>Pathology Lab</t>
        </is>
      </c>
      <c r="E56" s="8" t="n">
        <v>0</v>
      </c>
      <c r="F56" s="8" t="n">
        <v>0</v>
      </c>
      <c r="G56" s="8" t="n">
        <v>0</v>
      </c>
      <c r="H56" s="8" t="n">
        <v>0</v>
      </c>
      <c r="I56" s="8" t="n"/>
      <c r="J56" s="8" t="n">
        <v>0</v>
      </c>
      <c r="K56" s="8" t="n">
        <v>0</v>
      </c>
      <c r="L56" s="8" t="n"/>
      <c r="M56" s="8" t="n"/>
      <c r="N56" s="8" t="n"/>
      <c r="O56" s="8" t="n">
        <v>600</v>
      </c>
      <c r="P56" s="8" t="n"/>
      <c r="Q56" s="7" t="inlineStr">
        <is>
          <t>T2 avg NS1 Ag combo (NS1+IgM+IgG) = 700 INR</t>
        </is>
      </c>
      <c r="R56" s="7" t="inlineStr">
        <is>
          <t>NS1 positive = acute infection Day 1-5. Add IgM/IgG if fever Day 5+.</t>
        </is>
      </c>
      <c r="S56" s="21" t="inlineStr">
        <is>
          <t>A90</t>
        </is>
      </c>
      <c r="T56" s="22" t="inlineStr">
        <is>
          <t>Dengue fever [classical dengue] — NS1 antigen test Day 1-5 of fever</t>
        </is>
      </c>
      <c r="U56" s="23" t="inlineStr">
        <is>
          <t>A91</t>
        </is>
      </c>
      <c r="V56" s="24" t="inlineStr">
        <is>
          <t>Use A91 Dengue haemorrhagic fever if platelet &lt;100K + bleeding signs</t>
        </is>
      </c>
    </row>
    <row r="57" ht="30" customHeight="1">
      <c r="A57" s="7" t="inlineStr">
        <is>
          <t>Diagnostics</t>
        </is>
      </c>
      <c r="B57" s="7" t="inlineStr">
        <is>
          <t>Typhoid Widal Test</t>
        </is>
      </c>
      <c r="C57" s="7" t="inlineStr">
        <is>
          <t>No prep</t>
        </is>
      </c>
      <c r="D57" s="7" t="inlineStr">
        <is>
          <t>Pathology Lab</t>
        </is>
      </c>
      <c r="E57" s="8" t="n">
        <v>0</v>
      </c>
      <c r="F57" s="8" t="n">
        <v>0</v>
      </c>
      <c r="G57" s="8" t="n">
        <v>0</v>
      </c>
      <c r="H57" s="8" t="n">
        <v>0</v>
      </c>
      <c r="I57" s="8" t="n"/>
      <c r="J57" s="8" t="n">
        <v>0</v>
      </c>
      <c r="K57" s="8" t="n">
        <v>0</v>
      </c>
      <c r="L57" s="8" t="n"/>
      <c r="M57" s="8" t="n"/>
      <c r="N57" s="8" t="n"/>
      <c r="O57" s="8" t="n">
        <v>350</v>
      </c>
      <c r="P57" s="8" t="n"/>
      <c r="Q57" s="7" t="inlineStr">
        <is>
          <t>T2 avg Widal = 350 INR; Typhidot IgM preferred at ~500 INR</t>
        </is>
      </c>
      <c r="R57" s="7" t="inlineStr">
        <is>
          <t>Often unreliable. Typhidot or blood culture preferred. Single titre &gt;1:160 suggestive only.</t>
        </is>
      </c>
      <c r="S57" s="21" t="inlineStr">
        <is>
          <t>A01.00</t>
        </is>
      </c>
      <c r="T57" s="22" t="inlineStr">
        <is>
          <t>Typhoid fever, unspecified — Widal / Typhidot IgM test</t>
        </is>
      </c>
      <c r="U57" s="23" t="inlineStr">
        <is>
          <t>A01.09</t>
        </is>
      </c>
      <c r="V57" s="24" t="inlineStr">
        <is>
          <t>Use A01.09 for complicated typhoid with other complications</t>
        </is>
      </c>
    </row>
    <row r="58" ht="30" customHeight="1">
      <c r="A58" s="7" t="inlineStr">
        <is>
          <t>Diagnostics</t>
        </is>
      </c>
      <c r="B58" s="7" t="inlineStr">
        <is>
          <t>Thyroid Profile (T3/T4/TSH)</t>
        </is>
      </c>
      <c r="C58" s="7" t="inlineStr">
        <is>
          <t>Morning sample preferred</t>
        </is>
      </c>
      <c r="D58" s="7" t="inlineStr">
        <is>
          <t>Pathology Lab</t>
        </is>
      </c>
      <c r="E58" s="8" t="n">
        <v>0</v>
      </c>
      <c r="F58" s="8" t="n">
        <v>0</v>
      </c>
      <c r="G58" s="8" t="n">
        <v>0</v>
      </c>
      <c r="H58" s="8" t="n">
        <v>0</v>
      </c>
      <c r="I58" s="8" t="n"/>
      <c r="J58" s="8" t="n">
        <v>0</v>
      </c>
      <c r="K58" s="8" t="n">
        <v>0</v>
      </c>
      <c r="L58" s="8" t="n"/>
      <c r="M58" s="8" t="n"/>
      <c r="N58" s="8" t="n"/>
      <c r="O58" s="8" t="n">
        <v>600</v>
      </c>
      <c r="P58" s="8" t="n"/>
      <c r="Q58" s="7" t="inlineStr">
        <is>
          <t>T2 avg Thyroid profile T3+T4+TSH = 500 INR (Free T3/T4 ~700 INR)</t>
        </is>
      </c>
      <c r="R58" s="7" t="inlineStr">
        <is>
          <t>Stop Biotin 2 days prior. Morning sample preferred. TSH alone for screening.</t>
        </is>
      </c>
      <c r="S58" s="21" t="inlineStr">
        <is>
          <t>E03.9</t>
        </is>
      </c>
      <c r="T58" s="22" t="inlineStr">
        <is>
          <t>Hypothyroidism, unspecified (most common reason for thyroid profile in India)</t>
        </is>
      </c>
      <c r="U58" s="23" t="inlineStr">
        <is>
          <t>E05.90</t>
        </is>
      </c>
      <c r="V58" s="24" t="inlineStr">
        <is>
          <t>Use E05.90 Thyrotoxicosis unspecified if hyperthyroid; Z13.29 if screening</t>
        </is>
      </c>
    </row>
    <row r="59" ht="30" customHeight="1">
      <c r="A59" s="7" t="inlineStr">
        <is>
          <t>Diagnostics</t>
        </is>
      </c>
      <c r="B59" s="7" t="inlineStr">
        <is>
          <t>Chest X-Ray + Sputum for TB</t>
        </is>
      </c>
      <c r="C59" s="7" t="inlineStr">
        <is>
          <t>Remove metal; early morning sputum</t>
        </is>
      </c>
      <c r="D59" s="7" t="inlineStr">
        <is>
          <t>Radiology + Pathology</t>
        </is>
      </c>
      <c r="E59" s="8" t="n">
        <v>0</v>
      </c>
      <c r="F59" s="8" t="n">
        <v>0</v>
      </c>
      <c r="G59" s="8" t="n">
        <v>0</v>
      </c>
      <c r="H59" s="8" t="n">
        <v>0</v>
      </c>
      <c r="I59" s="8" t="n"/>
      <c r="J59" s="8" t="n">
        <v>0</v>
      </c>
      <c r="K59" s="8" t="n">
        <v>0</v>
      </c>
      <c r="L59" s="8" t="n"/>
      <c r="M59" s="8" t="n"/>
      <c r="N59" s="8" t="n"/>
      <c r="O59" s="8" t="n">
        <v>900</v>
      </c>
      <c r="P59" s="8" t="n"/>
      <c r="Q59" s="7" t="inlineStr">
        <is>
          <t>T2 avg CXR PA = 200 INR + AFB sputum 3 samples = 200 INR total = 400 INR</t>
        </is>
      </c>
      <c r="R59" s="7" t="inlineStr">
        <is>
          <t>3 sputum samples (spot-morning-spot) for AFB per NTEP. Deep cough.</t>
        </is>
      </c>
      <c r="S59" s="21" t="inlineStr">
        <is>
          <t>A15.0</t>
        </is>
      </c>
      <c r="T59" s="22" t="inlineStr">
        <is>
          <t>Tuberculosis of lung, confirmed by sputum microscopy / CBNAAT GeneXpert</t>
        </is>
      </c>
      <c r="U59" s="23" t="inlineStr">
        <is>
          <t>Z03.89</t>
        </is>
      </c>
      <c r="V59" s="24" t="inlineStr">
        <is>
          <t>Use Z03.89 Encounter for observation for suspected TB (ruled out)</t>
        </is>
      </c>
    </row>
    <row r="60" ht="30" customHeight="1">
      <c r="A60" s="7" t="inlineStr">
        <is>
          <t>Diagnostics</t>
        </is>
      </c>
      <c r="B60" s="7" t="inlineStr">
        <is>
          <t>ECG + Stress Test (TMT)</t>
        </is>
      </c>
      <c r="C60" s="7" t="inlineStr">
        <is>
          <t>Light meal 2h prior; running shoes</t>
        </is>
      </c>
      <c r="D60" s="7" t="inlineStr">
        <is>
          <t>Cardiology</t>
        </is>
      </c>
      <c r="E60" s="8" t="n">
        <v>0</v>
      </c>
      <c r="F60" s="8" t="n">
        <v>0</v>
      </c>
      <c r="G60" s="8" t="n">
        <v>0</v>
      </c>
      <c r="H60" s="8" t="n">
        <v>0</v>
      </c>
      <c r="I60" s="8" t="n"/>
      <c r="J60" s="8" t="n">
        <v>0</v>
      </c>
      <c r="K60" s="8" t="n">
        <v>0</v>
      </c>
      <c r="L60" s="8" t="n"/>
      <c r="M60" s="8" t="n"/>
      <c r="N60" s="8" t="n"/>
      <c r="O60" s="8" t="n">
        <v>220</v>
      </c>
      <c r="P60" s="8" t="n"/>
      <c r="Q60" s="7" t="inlineStr">
        <is>
          <t>T2 avg ECG 200 + TMT 1000 = 1200 INR total; beta-blockers stopped 24h prior</t>
        </is>
      </c>
      <c r="R60" s="7" t="inlineStr">
        <is>
          <t>Stop beta-blockers 24h prior if advised. Stop TMT for chest pain/ST depression &gt;2mm.</t>
        </is>
      </c>
      <c r="S60" s="21" t="inlineStr">
        <is>
          <t>Z13.6</t>
        </is>
      </c>
      <c r="T60" s="22" t="inlineStr">
        <is>
          <t>Encounter for screening for cardiovascular disorders (TMT / stress test)</t>
        </is>
      </c>
      <c r="U60" s="23" t="inlineStr">
        <is>
          <t>R07.9</t>
        </is>
      </c>
      <c r="V60" s="24" t="inlineStr">
        <is>
          <t>Use R07.9 Chest pain unspecified if symptomatic indication for TMT</t>
        </is>
      </c>
    </row>
    <row r="61" ht="30" customHeight="1">
      <c r="A61" s="7" t="inlineStr">
        <is>
          <t>Diagnostics</t>
        </is>
      </c>
      <c r="B61" s="7" t="inlineStr">
        <is>
          <t>MRI Brain</t>
        </is>
      </c>
      <c r="C61" s="7" t="inlineStr">
        <is>
          <t>Remove all metal; pacemaker contraindicated</t>
        </is>
      </c>
      <c r="D61" s="7" t="inlineStr">
        <is>
          <t>MRI Scanner (1.5T/3T)</t>
        </is>
      </c>
      <c r="E61" s="8" t="n">
        <v>0</v>
      </c>
      <c r="F61" s="8" t="n">
        <v>0</v>
      </c>
      <c r="G61" s="8" t="n">
        <v>0</v>
      </c>
      <c r="H61" s="8" t="n">
        <v>0</v>
      </c>
      <c r="I61" s="8" t="n"/>
      <c r="J61" s="8" t="n">
        <v>0</v>
      </c>
      <c r="K61" s="8" t="n">
        <v>0</v>
      </c>
      <c r="L61" s="8" t="n"/>
      <c r="M61" s="8" t="n"/>
      <c r="N61" s="8" t="n"/>
      <c r="O61" s="8" t="n">
        <v>5000</v>
      </c>
      <c r="P61" s="8" t="n"/>
      <c r="Q61" s="7" t="inlineStr">
        <is>
          <t>T2 avg MRI Brain plain = 3500 INR; with contrast (Gadolinium) = 5000 INR</t>
        </is>
      </c>
      <c r="R61" s="7" t="inlineStr">
        <is>
          <t>Check creatinine before gadolinium. Pacemakers contraindicated. 20-45 min scan.</t>
        </is>
      </c>
      <c r="S61" s="21" t="inlineStr">
        <is>
          <t>R51.9</t>
        </is>
      </c>
      <c r="T61" s="22" t="inlineStr">
        <is>
          <t>Headache, unspecified (most common outpatient MRI brain indication)</t>
        </is>
      </c>
      <c r="U61" s="23" t="inlineStr">
        <is>
          <t>G43.909</t>
        </is>
      </c>
      <c r="V61" s="24" t="inlineStr">
        <is>
          <t>Use G43.909 for migraine; C71.9 for tumour; G45.9 for TIA screening</t>
        </is>
      </c>
    </row>
    <row r="62" ht="30" customHeight="1">
      <c r="A62" s="7" t="inlineStr">
        <is>
          <t>Diagnostics</t>
        </is>
      </c>
      <c r="B62" s="7" t="inlineStr">
        <is>
          <t>CT Scan Abdomen</t>
        </is>
      </c>
      <c r="C62" s="7" t="inlineStr">
        <is>
          <t>Fasting 4h; oral contrast 1h prior</t>
        </is>
      </c>
      <c r="D62" s="7" t="inlineStr">
        <is>
          <t>CT Scanner (64-slice+)</t>
        </is>
      </c>
      <c r="E62" s="8" t="n">
        <v>0</v>
      </c>
      <c r="F62" s="8" t="n">
        <v>0</v>
      </c>
      <c r="G62" s="8" t="n">
        <v>0</v>
      </c>
      <c r="H62" s="8" t="n">
        <v>0</v>
      </c>
      <c r="I62" s="8" t="n"/>
      <c r="J62" s="8" t="n">
        <v>0</v>
      </c>
      <c r="K62" s="8" t="n">
        <v>0</v>
      </c>
      <c r="L62" s="8" t="n"/>
      <c r="M62" s="8" t="n"/>
      <c r="N62" s="8" t="n"/>
      <c r="O62" s="8" t="n">
        <v>5500</v>
      </c>
      <c r="P62" s="8" t="n"/>
      <c r="Q62" s="7" t="inlineStr">
        <is>
          <t>T2 avg CT Abdomen with contrast = 2500 INR; plain = 1800 INR</t>
        </is>
      </c>
      <c r="R62" s="7" t="inlineStr">
        <is>
          <t>Drink fluids post-scan to flush contrast. Breath-hold instructions during scan.</t>
        </is>
      </c>
      <c r="S62" s="21" t="inlineStr">
        <is>
          <t>R10.9</t>
        </is>
      </c>
      <c r="T62" s="22" t="inlineStr">
        <is>
          <t>Unspecified abdominal pain (most common CT abdomen indication)</t>
        </is>
      </c>
      <c r="U62" s="23" t="inlineStr">
        <is>
          <t>K92.1</t>
        </is>
      </c>
      <c r="V62" s="24" t="inlineStr">
        <is>
          <t>Use K92.1 Melaena; K57.30 diverticulitis; K65.9 peritonitis as applicable</t>
        </is>
      </c>
    </row>
    <row r="63" ht="30" customHeight="1">
      <c r="A63" s="7" t="inlineStr">
        <is>
          <t>Diagnostics</t>
        </is>
      </c>
      <c r="B63" s="7" t="inlineStr">
        <is>
          <t>Echocardiography (2D Echo)</t>
        </is>
      </c>
      <c r="C63" s="7" t="inlineStr">
        <is>
          <t>No prep required</t>
        </is>
      </c>
      <c r="D63" s="7" t="inlineStr">
        <is>
          <t>Echo Machine</t>
        </is>
      </c>
      <c r="E63" s="8" t="n">
        <v>0</v>
      </c>
      <c r="F63" s="8" t="n">
        <v>0</v>
      </c>
      <c r="G63" s="8" t="n">
        <v>0</v>
      </c>
      <c r="H63" s="8" t="n">
        <v>0</v>
      </c>
      <c r="I63" s="8" t="n"/>
      <c r="J63" s="8" t="n">
        <v>0</v>
      </c>
      <c r="K63" s="8" t="n">
        <v>0</v>
      </c>
      <c r="L63" s="8" t="n"/>
      <c r="M63" s="8" t="n"/>
      <c r="N63" s="8" t="n"/>
      <c r="O63" s="8" t="n">
        <v>1800</v>
      </c>
      <c r="P63" s="8" t="n"/>
      <c r="Q63" s="7" t="inlineStr">
        <is>
          <t>T2 avg 2D Echo = 1500 INR; Stress Echo (Dobutamine) = 3500 INR</t>
        </is>
      </c>
      <c r="R63" s="7" t="inlineStr">
        <is>
          <t>15-20 min. Non-invasive. No prep. EF%, valves, wall motion assessment.</t>
        </is>
      </c>
      <c r="S63" s="21" t="inlineStr">
        <is>
          <t>Z13.6</t>
        </is>
      </c>
      <c r="T63" s="22" t="inlineStr">
        <is>
          <t>Encounter for screening for cardiovascular disorders (echo screening)</t>
        </is>
      </c>
      <c r="U63" s="23" t="inlineStr">
        <is>
          <t>I50.9</t>
        </is>
      </c>
      <c r="V63" s="24" t="inlineStr">
        <is>
          <t>Use I50.9 Heart failure unspecified if symptomatic; I34.0 mitral regurgitation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"/>
  <sheetViews>
    <sheetView zoomScale="57" workbookViewId="0">
      <pane ySplit="1" topLeftCell="A2" activePane="bottomLeft" state="frozen"/>
      <selection pane="bottomLeft" activeCell="A1" sqref="A1:I2"/>
    </sheetView>
  </sheetViews>
  <sheetFormatPr baseColWidth="8" defaultRowHeight="14.4"/>
  <cols>
    <col width="22" customWidth="1" min="1" max="1"/>
    <col width="28" customWidth="1" min="2" max="2"/>
    <col width="6" customWidth="1" min="3" max="3"/>
    <col width="26" customWidth="1" min="4" max="4"/>
    <col width="55" customWidth="1" min="5" max="5"/>
    <col width="30" customWidth="1" min="6" max="6"/>
    <col width="22" customWidth="1" min="7" max="7"/>
    <col width="40" customWidth="1" min="8" max="8"/>
    <col width="45" customWidth="1" min="9" max="9"/>
  </cols>
  <sheetData>
    <row r="1" ht="30" customHeight="1">
      <c r="A1" s="1" t="inlineStr">
        <is>
          <t>Procedure</t>
        </is>
      </c>
      <c r="B1" s="1" t="inlineStr">
        <is>
          <t>Sub-Procedure</t>
        </is>
      </c>
      <c r="C1" s="1" t="inlineStr">
        <is>
          <t>Step</t>
        </is>
      </c>
      <c r="D1" s="1" t="inlineStr">
        <is>
          <t>Phase</t>
        </is>
      </c>
      <c r="E1" s="1" t="inlineStr">
        <is>
          <t>Action / Investigation / Intervention</t>
        </is>
      </c>
      <c r="F1" s="1" t="inlineStr">
        <is>
          <t>Responsible Clinician</t>
        </is>
      </c>
      <c r="G1" s="1" t="inlineStr">
        <is>
          <t>Timeline / Frequency</t>
        </is>
      </c>
      <c r="H1" s="1" t="inlineStr">
        <is>
          <t>Key Decision / Threshold</t>
        </is>
      </c>
      <c r="I1" s="1" t="inlineStr">
        <is>
          <t>Clinical Note</t>
        </is>
      </c>
    </row>
    <row r="2" ht="34.95" customHeight="1">
      <c r="A2" s="9" t="inlineStr">
        <is>
          <t>Knee Replacement</t>
        </is>
      </c>
      <c r="B2" s="9" t="inlineStr">
        <is>
          <t>TKR Unilateral</t>
        </is>
      </c>
      <c r="C2" s="9" t="inlineStr">
        <is>
          <t>1</t>
        </is>
      </c>
      <c r="D2" s="9" t="inlineStr">
        <is>
          <t>Pre-Op Assessment</t>
        </is>
      </c>
      <c r="E2" s="9" t="inlineStr">
        <is>
          <t>X-Ray Weight-Bearing (both knees AP/Lateral), CBC, KFT, LFT, Coag, ECG, Anaesthesia fitness</t>
        </is>
      </c>
      <c r="F2" s="9" t="inlineStr">
        <is>
          <t>Orthopaedic Surgeon + Anaesthetist</t>
        </is>
      </c>
      <c r="G2" s="9" t="inlineStr">
        <is>
          <t>7-14 days pre-op</t>
        </is>
      </c>
      <c r="H2" s="9" t="inlineStr">
        <is>
          <t>Proceed if KSS &lt;50 or pain VAS &gt;7 and conservative failed &gt;6 months</t>
        </is>
      </c>
      <c r="I2" s="9" t="inlineStr">
        <is>
          <t>Standing X-ray essential for alignment</t>
        </is>
      </c>
    </row>
    <row r="3" ht="34.95" customHeight="1">
      <c r="A3" s="9" t="inlineStr">
        <is>
          <t>Knee Replacement</t>
        </is>
      </c>
      <c r="B3" s="9" t="inlineStr">
        <is>
          <t>TKR Unilateral</t>
        </is>
      </c>
      <c r="C3" s="9" t="inlineStr">
        <is>
          <t>2</t>
        </is>
      </c>
      <c r="D3" s="9" t="inlineStr">
        <is>
          <t>Pre-Op Optimisation</t>
        </is>
      </c>
      <c r="E3" s="9" t="inlineStr">
        <is>
          <t>Physiotherapy for quad strengthening; stop NSAIDs 7 days; LMWH bridging if anticoagulated</t>
        </is>
      </c>
      <c r="F3" s="9" t="inlineStr">
        <is>
          <t>Physiotherapist + GP</t>
        </is>
      </c>
      <c r="G3" s="9" t="inlineStr">
        <is>
          <t>2-4 weeks pre-op</t>
        </is>
      </c>
      <c r="H3" s="9" t="inlineStr">
        <is>
          <t>BMI &gt;40: consider weight loss first; HbA1c &lt;8% for diabetics</t>
        </is>
      </c>
      <c r="I3" s="9" t="inlineStr">
        <is>
          <t>Pre-hab reduces post-op pain</t>
        </is>
      </c>
    </row>
    <row r="4" ht="34.95" customHeight="1">
      <c r="A4" s="10" t="inlineStr">
        <is>
          <t>Knee Replacement</t>
        </is>
      </c>
      <c r="B4" s="10" t="inlineStr">
        <is>
          <t>TKR Unilateral</t>
        </is>
      </c>
      <c r="C4" s="10" t="inlineStr">
        <is>
          <t>3</t>
        </is>
      </c>
      <c r="D4" s="10" t="inlineStr">
        <is>
          <t>Day of Surgery</t>
        </is>
      </c>
      <c r="E4" s="10" t="inlineStr">
        <is>
          <t>Spinal/GA, tourniquet, cemented/cementless prosthesis, drain insertion, compression bandage</t>
        </is>
      </c>
      <c r="F4" s="10" t="inlineStr">
        <is>
          <t>Orthopaedic Surgeon + Anaesthetist</t>
        </is>
      </c>
      <c r="G4" s="10" t="inlineStr">
        <is>
          <t>Day 0</t>
        </is>
      </c>
      <c r="H4" s="10" t="inlineStr">
        <is>
          <t>Implant choice: standard CoCr vs premium (Hi-Flex/Oxinium) based on age/activity</t>
        </is>
      </c>
      <c r="I4" s="10" t="inlineStr">
        <is>
          <t>Antibiotic prophylaxis IV at induction</t>
        </is>
      </c>
    </row>
    <row r="5" ht="34.95" customHeight="1">
      <c r="A5" s="11" t="inlineStr">
        <is>
          <t>Knee Replacement</t>
        </is>
      </c>
      <c r="B5" s="11" t="inlineStr">
        <is>
          <t>TKR Unilateral</t>
        </is>
      </c>
      <c r="C5" s="11" t="inlineStr">
        <is>
          <t>4</t>
        </is>
      </c>
      <c r="D5" s="11" t="inlineStr">
        <is>
          <t>Post-Op Day 1-2</t>
        </is>
      </c>
      <c r="E5" s="11" t="inlineStr">
        <is>
          <t>Remove drain Day 2, IV antibiotics 24h, start CPM machine, start physio mobilisation</t>
        </is>
      </c>
      <c r="F5" s="11" t="inlineStr">
        <is>
          <t>Surgeon + Physiotherapist</t>
        </is>
      </c>
      <c r="G5" s="11" t="inlineStr">
        <is>
          <t>Day 1-2</t>
        </is>
      </c>
      <c r="H5" s="11" t="inlineStr">
        <is>
          <t>DVT prophylaxis (LMWH) + TED stockings mandatory</t>
        </is>
      </c>
      <c r="I5" s="11" t="inlineStr">
        <is>
          <t>Early mobilisation key to outcome</t>
        </is>
      </c>
    </row>
    <row r="6" ht="34.95" customHeight="1">
      <c r="A6" s="12" t="inlineStr">
        <is>
          <t>Knee Replacement</t>
        </is>
      </c>
      <c r="B6" s="12" t="inlineStr">
        <is>
          <t>TKR Unilateral</t>
        </is>
      </c>
      <c r="C6" s="12" t="inlineStr">
        <is>
          <t>5</t>
        </is>
      </c>
      <c r="D6" s="12" t="inlineStr">
        <is>
          <t>Discharge</t>
        </is>
      </c>
      <c r="E6" s="12" t="inlineStr">
        <is>
          <t>Discharge Day 4-5; wound review Day 10-14; physiotherapy 4 sessions (included)</t>
        </is>
      </c>
      <c r="F6" s="12" t="inlineStr">
        <is>
          <t>Surgeon + Physio</t>
        </is>
      </c>
      <c r="G6" s="12" t="inlineStr">
        <is>
          <t>Day 5</t>
        </is>
      </c>
      <c r="H6" s="12" t="inlineStr">
        <is>
          <t>Discharge criteria: walking with frame, pain VAS &lt;4</t>
        </is>
      </c>
      <c r="I6" s="12" t="inlineStr">
        <is>
          <t>Oral analgesia + anticoagulation 14 days</t>
        </is>
      </c>
    </row>
    <row r="7" ht="34.95" customHeight="1">
      <c r="A7" s="13" t="inlineStr">
        <is>
          <t>Knee Replacement</t>
        </is>
      </c>
      <c r="B7" s="13" t="inlineStr">
        <is>
          <t>TKR Unilateral</t>
        </is>
      </c>
      <c r="C7" s="13" t="inlineStr">
        <is>
          <t>6</t>
        </is>
      </c>
      <c r="D7" s="13" t="inlineStr">
        <is>
          <t>Follow-Up</t>
        </is>
      </c>
      <c r="E7" s="13" t="inlineStr">
        <is>
          <t>X-Ray at 6 weeks + 1 year; physio review at 3 months; KSS/WOMAC score at 1 year</t>
        </is>
      </c>
      <c r="F7" s="13" t="inlineStr">
        <is>
          <t>Orthopaedic Surgeon</t>
        </is>
      </c>
      <c r="G7" s="13" t="inlineStr">
        <is>
          <t>6 weeks, 3 months, 1 year</t>
        </is>
      </c>
      <c r="H7" s="13" t="inlineStr">
        <is>
          <t>Red flags: wound discharge, fever, acute pain = rule out PJI</t>
        </is>
      </c>
      <c r="I7" s="13" t="inlineStr">
        <is>
          <t>Target ROM &gt;120 degrees at 3 months</t>
        </is>
      </c>
    </row>
    <row r="8" ht="34.95" customHeight="1">
      <c r="A8" s="9" t="inlineStr">
        <is>
          <t>Hip Replacement</t>
        </is>
      </c>
      <c r="B8" s="9" t="inlineStr">
        <is>
          <t>Total Hip Replacement (THR)</t>
        </is>
      </c>
      <c r="C8" s="9" t="inlineStr">
        <is>
          <t>1</t>
        </is>
      </c>
      <c r="D8" s="9" t="inlineStr">
        <is>
          <t>Pre-Op Assessment</t>
        </is>
      </c>
      <c r="E8" s="9" t="inlineStr">
        <is>
          <t>X-Ray Pelvis AP + Lateral Hip, CBC, KFT, LFT, Coag, ECG, ECHO if indicated, Anaesthesia</t>
        </is>
      </c>
      <c r="F8" s="9" t="inlineStr">
        <is>
          <t>Orthopaedic Surgeon + Anaesthetist</t>
        </is>
      </c>
      <c r="G8" s="9" t="inlineStr">
        <is>
          <t>7-14 days pre-op</t>
        </is>
      </c>
      <c r="H8" s="9" t="inlineStr">
        <is>
          <t>Crossmatch 2 units; DEXA if osteoporosis suspected for cement decision</t>
        </is>
      </c>
      <c r="I8" s="9" t="inlineStr">
        <is>
          <t>DVT risk assessment mandatory</t>
        </is>
      </c>
    </row>
    <row r="9" ht="34.95" customHeight="1">
      <c r="A9" s="10" t="inlineStr">
        <is>
          <t>Hip Replacement</t>
        </is>
      </c>
      <c r="B9" s="10" t="inlineStr">
        <is>
          <t>Total Hip Replacement (THR)</t>
        </is>
      </c>
      <c r="C9" s="10" t="inlineStr">
        <is>
          <t>2</t>
        </is>
      </c>
      <c r="D9" s="10" t="inlineStr">
        <is>
          <t>Day of Surgery</t>
        </is>
      </c>
      <c r="E9" s="10" t="inlineStr">
        <is>
          <t>Spinal/GA, posterior or anterolateral approach, cementless (active &lt;70yr) or cemented (elderly)</t>
        </is>
      </c>
      <c r="F9" s="10" t="inlineStr">
        <is>
          <t>Orthopaedic Surgeon</t>
        </is>
      </c>
      <c r="G9" s="10" t="inlineStr">
        <is>
          <t>Day 0</t>
        </is>
      </c>
      <c r="H9" s="10" t="inlineStr">
        <is>
          <t>Hip precautions education pre-op (no flexion &gt;90 degrees for 6 weeks)</t>
        </is>
      </c>
      <c r="I9" s="10" t="inlineStr">
        <is>
          <t>LMWH start 12h post-op</t>
        </is>
      </c>
    </row>
    <row r="10" ht="34.95" customHeight="1">
      <c r="A10" s="14" t="inlineStr">
        <is>
          <t>Hip Replacement</t>
        </is>
      </c>
      <c r="B10" s="14" t="inlineStr">
        <is>
          <t>Total Hip Replacement (THR)</t>
        </is>
      </c>
      <c r="C10" s="14" t="inlineStr">
        <is>
          <t>3</t>
        </is>
      </c>
      <c r="D10" s="14" t="inlineStr">
        <is>
          <t>Post-Op Day 1-3</t>
        </is>
      </c>
      <c r="E10" s="14" t="inlineStr">
        <is>
          <t>Physio: sit out Day 1, walk with frame Day 2; drain removal Day 2; wound check</t>
        </is>
      </c>
      <c r="F10" s="14" t="inlineStr">
        <is>
          <t>Surgeon + Physiotherapist</t>
        </is>
      </c>
      <c r="G10" s="14" t="inlineStr">
        <is>
          <t>Day 1-3</t>
        </is>
      </c>
      <c r="H10" s="14" t="inlineStr">
        <is>
          <t>Watch for: neurovascular deficit, wound haematoma, dislocation signs</t>
        </is>
      </c>
      <c r="I10" s="14" t="inlineStr">
        <is>
          <t>Abduction pillow between legs</t>
        </is>
      </c>
    </row>
    <row r="11" ht="34.95" customHeight="1">
      <c r="A11" s="12" t="inlineStr">
        <is>
          <t>Hip Replacement</t>
        </is>
      </c>
      <c r="B11" s="12" t="inlineStr">
        <is>
          <t>Total Hip Replacement (THR)</t>
        </is>
      </c>
      <c r="C11" s="12" t="inlineStr">
        <is>
          <t>4</t>
        </is>
      </c>
      <c r="D11" s="12" t="inlineStr">
        <is>
          <t>Discharge + Follow-Up</t>
        </is>
      </c>
      <c r="E11" s="12" t="inlineStr">
        <is>
          <t>Discharge Day 5-6; wound review Day 10; X-Ray at 6 weeks; LMWH 14-28 days</t>
        </is>
      </c>
      <c r="F11" s="12" t="inlineStr">
        <is>
          <t>Surgeon</t>
        </is>
      </c>
      <c r="G11" s="12" t="inlineStr">
        <is>
          <t>Day 6, 6 weeks, 1 year</t>
        </is>
      </c>
      <c r="H11" s="12" t="inlineStr">
        <is>
          <t>Target: walking unaided by 6 weeks; Harris Hip Score &gt;80 at 1 year</t>
        </is>
      </c>
      <c r="I11" s="12" t="inlineStr">
        <is>
          <t>Hip precautions 6 weeks strictly</t>
        </is>
      </c>
    </row>
    <row r="12" ht="34.95" customHeight="1">
      <c r="A12" s="14" t="inlineStr">
        <is>
          <t>Hip Replacement</t>
        </is>
      </c>
      <c r="B12" s="14" t="inlineStr">
        <is>
          <t>Hemiarthroplasty (Partial Hip)</t>
        </is>
      </c>
      <c r="C12" s="14" t="inlineStr">
        <is>
          <t>1</t>
        </is>
      </c>
      <c r="D12" s="14" t="inlineStr">
        <is>
          <t>Emergency Assessment</t>
        </is>
      </c>
      <c r="E12" s="14" t="inlineStr">
        <is>
          <t>X-Ray Hip + Pelvis, CBC, Coag, ECG, Crossmatch 2U; expedite within 36h of fracture</t>
        </is>
      </c>
      <c r="F12" s="14" t="inlineStr">
        <is>
          <t>Orthopaedic Surgeon</t>
        </is>
      </c>
      <c r="G12" s="14" t="inlineStr">
        <is>
          <t>Emergency</t>
        </is>
      </c>
      <c r="H12" s="14" t="inlineStr">
        <is>
          <t>NICE: surgery within 36h reduces mortality and complications</t>
        </is>
      </c>
      <c r="I12" s="14" t="inlineStr">
        <is>
          <t>Bipolar preferred over unipolar</t>
        </is>
      </c>
    </row>
    <row r="13" ht="34.95" customHeight="1">
      <c r="A13" s="10" t="inlineStr">
        <is>
          <t>Hip Replacement</t>
        </is>
      </c>
      <c r="B13" s="10" t="inlineStr">
        <is>
          <t>Hemiarthroplasty (Partial Hip)</t>
        </is>
      </c>
      <c r="C13" s="10" t="inlineStr">
        <is>
          <t>2</t>
        </is>
      </c>
      <c r="D13" s="10" t="inlineStr">
        <is>
          <t>Surgery + Recovery</t>
        </is>
      </c>
      <c r="E13" s="10" t="inlineStr">
        <is>
          <t>Spinal/GA, posterior approach, bipolar bipolar prosthesis, drain, mobilise Day 1</t>
        </is>
      </c>
      <c r="F13" s="10" t="inlineStr">
        <is>
          <t>Surgeon</t>
        </is>
      </c>
      <c r="G13" s="10" t="inlineStr">
        <is>
          <t>Day 0-1</t>
        </is>
      </c>
      <c r="H13" s="10" t="inlineStr">
        <is>
          <t>Early mobilisation Day 1 mandatory; pressure ulcer prevention</t>
        </is>
      </c>
      <c r="I13" s="10" t="inlineStr">
        <is>
          <t>Cemented for osteoporotic bone</t>
        </is>
      </c>
    </row>
    <row r="14" ht="34.95" customHeight="1">
      <c r="A14" s="9" t="inlineStr">
        <is>
          <t>Cataract Surgery</t>
        </is>
      </c>
      <c r="B14" s="9" t="inlineStr">
        <is>
          <t>Phacoemulsification</t>
        </is>
      </c>
      <c r="C14" s="9" t="inlineStr">
        <is>
          <t>1</t>
        </is>
      </c>
      <c r="D14" s="9" t="inlineStr">
        <is>
          <t>Pre-Op Assessment</t>
        </is>
      </c>
      <c r="E14" s="9" t="inlineStr">
        <is>
          <t>Visual acuity, IOL biometry (SRK-T formula), keratometry, corneal topography (Toric), OCT macula</t>
        </is>
      </c>
      <c r="F14" s="9" t="inlineStr">
        <is>
          <t>Ophthalmologist</t>
        </is>
      </c>
      <c r="G14" s="9" t="inlineStr">
        <is>
          <t>OPD visit pre-op</t>
        </is>
      </c>
      <c r="H14" s="9" t="inlineStr">
        <is>
          <t>Proceed if BCVA &lt;6/18 affecting daily life or patient choice</t>
        </is>
      </c>
      <c r="I14" s="9" t="inlineStr">
        <is>
          <t>Topical anaesthesia pre-op drops</t>
        </is>
      </c>
    </row>
    <row r="15" ht="34.95" customHeight="1">
      <c r="A15" s="11" t="inlineStr">
        <is>
          <t>Cataract Surgery</t>
        </is>
      </c>
      <c r="B15" s="11" t="inlineStr">
        <is>
          <t>Phacoemulsification</t>
        </is>
      </c>
      <c r="C15" s="11" t="inlineStr">
        <is>
          <t>2</t>
        </is>
      </c>
      <c r="D15" s="11" t="inlineStr">
        <is>
          <t>IOL Selection</t>
        </is>
      </c>
      <c r="E15" s="11" t="inlineStr">
        <is>
          <t>Monofocal (distance or near); Toric (astigmatism &gt;1D); Multifocal/EDOF (spectacle independence)</t>
        </is>
      </c>
      <c r="F15" s="11" t="inlineStr">
        <is>
          <t>Ophthalmologist</t>
        </is>
      </c>
      <c r="G15" s="11" t="inlineStr">
        <is>
          <t>Same OPD visit</t>
        </is>
      </c>
      <c r="H15" s="11" t="inlineStr">
        <is>
          <t>Multifocal: rule out macular pathology by OCT; Toric: corneal topography mandatory</t>
        </is>
      </c>
      <c r="I15" s="11" t="inlineStr">
        <is>
          <t>Patient counselling on OOP cost if premium IOL</t>
        </is>
      </c>
    </row>
    <row r="16" ht="34.95" customHeight="1">
      <c r="A16" s="14" t="inlineStr">
        <is>
          <t>Cataract Surgery</t>
        </is>
      </c>
      <c r="B16" s="14" t="inlineStr">
        <is>
          <t>Phacoemulsification</t>
        </is>
      </c>
      <c r="C16" s="14" t="inlineStr">
        <is>
          <t>3</t>
        </is>
      </c>
      <c r="D16" s="14" t="inlineStr">
        <is>
          <t>Day Care Surgery</t>
        </is>
      </c>
      <c r="E16" s="14" t="inlineStr">
        <is>
          <t>Topical/peribulbar LA; phacoemulsification; IOL implantation; subconjunctival antibiotics</t>
        </is>
      </c>
      <c r="F16" s="14" t="inlineStr">
        <is>
          <t>Ophthalmologist</t>
        </is>
      </c>
      <c r="G16" s="14" t="inlineStr">
        <is>
          <t>Day 0 (day care)</t>
        </is>
      </c>
      <c r="H16" s="14" t="inlineStr">
        <is>
          <t>Convert to ECCE if hard nucleus Grade 4/5 or zonular dehiscence</t>
        </is>
      </c>
      <c r="I16" s="14" t="inlineStr">
        <is>
          <t>Patch and shield post-op</t>
        </is>
      </c>
    </row>
    <row r="17" ht="34.95" customHeight="1">
      <c r="A17" s="11" t="inlineStr">
        <is>
          <t>Cataract Surgery</t>
        </is>
      </c>
      <c r="B17" s="11" t="inlineStr">
        <is>
          <t>Phacoemulsification</t>
        </is>
      </c>
      <c r="C17" s="11" t="inlineStr">
        <is>
          <t>4</t>
        </is>
      </c>
      <c r="D17" s="11" t="inlineStr">
        <is>
          <t>Post-Op Care</t>
        </is>
      </c>
      <c r="E17" s="11" t="inlineStr">
        <is>
          <t>Antibiotic + steroid drops 4 weeks; review Day 1, Week 1, Month 1</t>
        </is>
      </c>
      <c r="F17" s="11" t="inlineStr">
        <is>
          <t>Ophthalmologist</t>
        </is>
      </c>
      <c r="G17" s="11" t="inlineStr">
        <is>
          <t>Day 1, 1 week, 1 month</t>
        </is>
      </c>
      <c r="H17" s="11" t="inlineStr">
        <is>
          <t>Red flags: pain, BCVA &lt;6/60 Day 1 = rule out endophthalmitis</t>
        </is>
      </c>
      <c r="I17" s="11" t="inlineStr">
        <is>
          <t>Glasses prescription at 6 weeks</t>
        </is>
      </c>
    </row>
    <row r="18" ht="34.95" customHeight="1">
      <c r="A18" s="14" t="inlineStr">
        <is>
          <t>Angioplasty with Stent</t>
        </is>
      </c>
      <c r="B18" s="14" t="inlineStr">
        <is>
          <t>PTCA Single Vessel</t>
        </is>
      </c>
      <c r="C18" s="14" t="inlineStr">
        <is>
          <t>1</t>
        </is>
      </c>
      <c r="D18" s="14" t="inlineStr">
        <is>
          <t>Diagnosis + Risk Stratification</t>
        </is>
      </c>
      <c r="E18" s="14" t="inlineStr">
        <is>
          <t>ECG, Troponin, 2D Echo, Coronary Angiography (CAG); TIMI/GRACE score</t>
        </is>
      </c>
      <c r="F18" s="14" t="inlineStr">
        <is>
          <t>Cardiologist</t>
        </is>
      </c>
      <c r="G18" s="14" t="inlineStr">
        <is>
          <t>Acute or elective</t>
        </is>
      </c>
      <c r="H18" s="14" t="inlineStr">
        <is>
          <t>STEMI: PPCI within 90 min of first medical contact; NSTEMI: within 24-72h</t>
        </is>
      </c>
      <c r="I18" s="14" t="inlineStr">
        <is>
          <t>FFR/IVUS guidance for intermediate lesions</t>
        </is>
      </c>
    </row>
    <row r="19" ht="34.95" customHeight="1">
      <c r="A19" s="11" t="inlineStr">
        <is>
          <t>Angioplasty with Stent</t>
        </is>
      </c>
      <c r="B19" s="11" t="inlineStr">
        <is>
          <t>PTCA Single Vessel</t>
        </is>
      </c>
      <c r="C19" s="11" t="inlineStr">
        <is>
          <t>2</t>
        </is>
      </c>
      <c r="D19" s="11" t="inlineStr">
        <is>
          <t>PTCA Procedure</t>
        </is>
      </c>
      <c r="E19" s="11" t="inlineStr">
        <is>
          <t>Femoral/radial access; balloon predilation; DES deployment; VCD closure</t>
        </is>
      </c>
      <c r="F19" s="11" t="inlineStr">
        <is>
          <t>Interventional Cardiologist</t>
        </is>
      </c>
      <c r="G19" s="11" t="inlineStr">
        <is>
          <t>Day 0</t>
        </is>
      </c>
      <c r="H19" s="11" t="inlineStr">
        <is>
          <t>DES cost IMCP01 = 23625; confirm lesion length for stent sizing</t>
        </is>
      </c>
      <c r="I19" s="11" t="inlineStr">
        <is>
          <t>Radial preferred (less bleeding)</t>
        </is>
      </c>
    </row>
    <row r="20" ht="34.95" customHeight="1">
      <c r="A20" s="14" t="inlineStr">
        <is>
          <t>Angioplasty with Stent</t>
        </is>
      </c>
      <c r="B20" s="14" t="inlineStr">
        <is>
          <t>PTCA Single Vessel</t>
        </is>
      </c>
      <c r="C20" s="14" t="inlineStr">
        <is>
          <t>3</t>
        </is>
      </c>
      <c r="D20" s="14" t="inlineStr">
        <is>
          <t>Post-Procedure Care</t>
        </is>
      </c>
      <c r="E20" s="14" t="inlineStr">
        <is>
          <t>CCU monitoring 12-24h; serial ECG; check access site; DAPT loading (Aspirin + Clopidogrel/Ticagrelor)</t>
        </is>
      </c>
      <c r="F20" s="14" t="inlineStr">
        <is>
          <t>Cardiologist + CCU Team</t>
        </is>
      </c>
      <c r="G20" s="14" t="inlineStr">
        <is>
          <t>24-48h</t>
        </is>
      </c>
      <c r="H20" s="14" t="inlineStr">
        <is>
          <t>DAPT 12 months mandatory post-DES; PPIs co-prescribed</t>
        </is>
      </c>
      <c r="I20" s="14" t="inlineStr">
        <is>
          <t>Radial sheath removal after 2-4h</t>
        </is>
      </c>
    </row>
    <row r="21" ht="34.95" customHeight="1">
      <c r="A21" s="11" t="inlineStr">
        <is>
          <t>Angioplasty with Stent</t>
        </is>
      </c>
      <c r="B21" s="11" t="inlineStr">
        <is>
          <t>PTCA Single Vessel</t>
        </is>
      </c>
      <c r="C21" s="11" t="inlineStr">
        <is>
          <t>4</t>
        </is>
      </c>
      <c r="D21" s="11" t="inlineStr">
        <is>
          <t>Discharge + Secondary Prevention</t>
        </is>
      </c>
      <c r="E21" s="11" t="inlineStr">
        <is>
          <t>Discharge Day 2-3; DAPT + statin + ACEI/ARB + beta-blocker; cardiac rehab referral</t>
        </is>
      </c>
      <c r="F21" s="11" t="inlineStr">
        <is>
          <t>Cardiologist + GP</t>
        </is>
      </c>
      <c r="G21" s="11" t="inlineStr">
        <is>
          <t>3 days, 1 month, 6 months, 1 year</t>
        </is>
      </c>
      <c r="H21" s="11" t="inlineStr">
        <is>
          <t>LDL target &lt;70 mg/dL; BP &lt;130/80; HbA1c &lt;7% in diabetics</t>
        </is>
      </c>
      <c r="I21" s="11" t="inlineStr">
        <is>
          <t>Never stop DAPT within 12 months without cardiologist advice</t>
        </is>
      </c>
    </row>
    <row r="22" ht="34.95" customHeight="1">
      <c r="A22" s="14" t="inlineStr">
        <is>
          <t>Hernia Repair</t>
        </is>
      </c>
      <c r="B22" s="14" t="inlineStr">
        <is>
          <t>Inguinal Hernia</t>
        </is>
      </c>
      <c r="C22" s="14" t="inlineStr">
        <is>
          <t>1</t>
        </is>
      </c>
      <c r="D22" s="14" t="inlineStr">
        <is>
          <t>Assessment</t>
        </is>
      </c>
      <c r="E22" s="14" t="inlineStr">
        <is>
          <t>Examination + USG groin if uncertain; check opposite side; rule out femoral hernia</t>
        </is>
      </c>
      <c r="F22" s="14" t="inlineStr">
        <is>
          <t>Surgeon</t>
        </is>
      </c>
      <c r="G22" s="14" t="inlineStr">
        <is>
          <t>OPD</t>
        </is>
      </c>
      <c r="H22" s="14" t="inlineStr">
        <is>
          <t>Elective repair recommended for all symptomatic inguinal hernias</t>
        </is>
      </c>
      <c r="I22" s="14" t="inlineStr">
        <is>
          <t>Asymptomatic: watchful waiting option for elderly</t>
        </is>
      </c>
    </row>
    <row r="23" ht="34.95" customHeight="1">
      <c r="A23" s="11" t="inlineStr">
        <is>
          <t>Hernia Repair</t>
        </is>
      </c>
      <c r="B23" s="11" t="inlineStr">
        <is>
          <t>Inguinal Hernia</t>
        </is>
      </c>
      <c r="C23" s="11" t="inlineStr">
        <is>
          <t>2</t>
        </is>
      </c>
      <c r="D23" s="11" t="inlineStr">
        <is>
          <t>Surgery (Open or Lap)</t>
        </is>
      </c>
      <c r="E23" s="11" t="inlineStr">
        <is>
          <t>Open Lichtenstein + PP mesh OR Laparoscopic TEP/TAPP + mesh; LA/Spinal/GA</t>
        </is>
      </c>
      <c r="F23" s="11" t="inlineStr">
        <is>
          <t>Surgeon</t>
        </is>
      </c>
      <c r="G23" s="11" t="inlineStr">
        <is>
          <t>Day 0</t>
        </is>
      </c>
      <c r="H23" s="11" t="inlineStr">
        <is>
          <t>Lap preferred for bilateral/recurrent; Open if complex anatomy</t>
        </is>
      </c>
      <c r="I23" s="11" t="inlineStr">
        <is>
          <t>Antibiotic prophylaxis single dose at induction</t>
        </is>
      </c>
    </row>
    <row r="24" ht="34.95" customHeight="1">
      <c r="A24" s="12" t="inlineStr">
        <is>
          <t>Hernia Repair</t>
        </is>
      </c>
      <c r="B24" s="12" t="inlineStr">
        <is>
          <t>Inguinal Hernia</t>
        </is>
      </c>
      <c r="C24" s="12" t="inlineStr">
        <is>
          <t>3</t>
        </is>
      </c>
      <c r="D24" s="12" t="inlineStr">
        <is>
          <t>Post-Op + Discharge</t>
        </is>
      </c>
      <c r="E24" s="12" t="inlineStr">
        <is>
          <t>Discharge Day 1-2; avoid heavy lifting 4-6 weeks; wound review Day 10</t>
        </is>
      </c>
      <c r="F24" s="12" t="inlineStr">
        <is>
          <t>Surgeon</t>
        </is>
      </c>
      <c r="G24" s="12" t="inlineStr">
        <is>
          <t>Day 10, 6 weeks</t>
        </is>
      </c>
      <c r="H24" s="12" t="inlineStr">
        <is>
          <t>Recurrence: Open &lt;1%; Lap 1-3% (TEP); Higher if mesh not used</t>
        </is>
      </c>
      <c r="I24" s="12" t="inlineStr">
        <is>
          <t>Scrotal swelling may persist 4-6 weeks</t>
        </is>
      </c>
    </row>
    <row r="25" ht="34.95" customHeight="1">
      <c r="A25" s="9" t="inlineStr">
        <is>
          <t>Gallbladder Removal</t>
        </is>
      </c>
      <c r="B25" s="9" t="inlineStr">
        <is>
          <t>Laparoscopic Cholecystectomy</t>
        </is>
      </c>
      <c r="C25" s="9" t="inlineStr">
        <is>
          <t>1</t>
        </is>
      </c>
      <c r="D25" s="9" t="inlineStr">
        <is>
          <t>Pre-Op Assessment</t>
        </is>
      </c>
      <c r="E25" s="9" t="inlineStr">
        <is>
          <t>USG abdomen, CBC, LFT, Coag; MRCP if CBD dilation &gt;8mm or raised bilirubin</t>
        </is>
      </c>
      <c r="F25" s="9" t="inlineStr">
        <is>
          <t>Surgeon + Gastroenterologist</t>
        </is>
      </c>
      <c r="G25" s="9" t="inlineStr">
        <is>
          <t>Elective or acute</t>
        </is>
      </c>
      <c r="H25" s="9" t="inlineStr">
        <is>
          <t>ERCP pre-op if CBD stones confirmed; add ~12060 cost (MG025)</t>
        </is>
      </c>
      <c r="I25" s="9" t="inlineStr">
        <is>
          <t>Delay surgery 6-8 weeks if acute attack resolving</t>
        </is>
      </c>
    </row>
    <row r="26" ht="34.95" customHeight="1">
      <c r="A26" s="14" t="inlineStr">
        <is>
          <t>Gallbladder Removal</t>
        </is>
      </c>
      <c r="B26" s="14" t="inlineStr">
        <is>
          <t>Laparoscopic Cholecystectomy</t>
        </is>
      </c>
      <c r="C26" s="14" t="inlineStr">
        <is>
          <t>2</t>
        </is>
      </c>
      <c r="D26" s="14" t="inlineStr">
        <is>
          <t>Laparoscopic Surgery</t>
        </is>
      </c>
      <c r="E26" s="14" t="inlineStr">
        <is>
          <t>4-port lap cholecystectomy; critical view of safety before clipping; cholangiogram if uncertain</t>
        </is>
      </c>
      <c r="F26" s="14" t="inlineStr">
        <is>
          <t>Surgeon</t>
        </is>
      </c>
      <c r="G26" s="14" t="inlineStr">
        <is>
          <t>Day 0</t>
        </is>
      </c>
      <c r="H26" s="14" t="inlineStr">
        <is>
          <t>Convert to open if dense adhesions or unclear anatomy</t>
        </is>
      </c>
      <c r="I26" s="14" t="inlineStr">
        <is>
          <t>Drain only if bile leak risk</t>
        </is>
      </c>
    </row>
    <row r="27" ht="34.95" customHeight="1">
      <c r="A27" s="11" t="inlineStr">
        <is>
          <t>Gallbladder Removal</t>
        </is>
      </c>
      <c r="B27" s="11" t="inlineStr">
        <is>
          <t>Laparoscopic Cholecystectomy</t>
        </is>
      </c>
      <c r="C27" s="11" t="inlineStr">
        <is>
          <t>3</t>
        </is>
      </c>
      <c r="D27" s="11" t="inlineStr">
        <is>
          <t>Recovery + Discharge</t>
        </is>
      </c>
      <c r="E27" s="11" t="inlineStr">
        <is>
          <t>Discharge Day 1-2 (uncomplicated); diet: low fat 2 weeks; wound review Day 7</t>
        </is>
      </c>
      <c r="F27" s="11" t="inlineStr">
        <is>
          <t>Surgeon</t>
        </is>
      </c>
      <c r="G27" s="11" t="inlineStr">
        <is>
          <t>Day 7</t>
        </is>
      </c>
      <c r="H27" s="11" t="inlineStr">
        <is>
          <t>Bile leak: drain output bile-stained = ERCP sphincterotomy</t>
        </is>
      </c>
      <c r="I27" s="11" t="inlineStr">
        <is>
          <t>Normal diet resumes by 4-6 weeks</t>
        </is>
      </c>
    </row>
    <row r="28" ht="34.95" customHeight="1">
      <c r="A28" s="14" t="inlineStr">
        <is>
          <t>Appendectomy</t>
        </is>
      </c>
      <c r="B28" s="14" t="inlineStr">
        <is>
          <t>Laparoscopic Appendectomy</t>
        </is>
      </c>
      <c r="C28" s="14" t="inlineStr">
        <is>
          <t>1</t>
        </is>
      </c>
      <c r="D28" s="14" t="inlineStr">
        <is>
          <t>Diagnosis</t>
        </is>
      </c>
      <c r="E28" s="14" t="inlineStr">
        <is>
          <t>CBC (leukocytosis), CRP, USG abdomen; CT if USG equivocal (Alvarado score)</t>
        </is>
      </c>
      <c r="F28" s="14" t="inlineStr">
        <is>
          <t>Surgeon + Emergency Team</t>
        </is>
      </c>
      <c r="G28" s="14" t="inlineStr">
        <is>
          <t>Emergency</t>
        </is>
      </c>
      <c r="H28" s="14" t="inlineStr">
        <is>
          <t>Alvarado score &gt;7: operate; 5-6: observe/CT; &lt;4: discharge</t>
        </is>
      </c>
      <c r="I28" s="14" t="inlineStr">
        <is>
          <t>CT sensitivity 94%, specificity 95% for appendicitis</t>
        </is>
      </c>
    </row>
    <row r="29" ht="34.95" customHeight="1">
      <c r="A29" s="10" t="inlineStr">
        <is>
          <t>Appendectomy</t>
        </is>
      </c>
      <c r="B29" s="10" t="inlineStr">
        <is>
          <t>Laparoscopic Appendectomy</t>
        </is>
      </c>
      <c r="C29" s="10" t="inlineStr">
        <is>
          <t>2</t>
        </is>
      </c>
      <c r="D29" s="10" t="inlineStr">
        <is>
          <t>Surgery</t>
        </is>
      </c>
      <c r="E29" s="10" t="inlineStr">
        <is>
          <t>3-port laparoscopic appendectomy; endo-loop ligation; retrieval bag</t>
        </is>
      </c>
      <c r="F29" s="10" t="inlineStr">
        <is>
          <t>Surgeon</t>
        </is>
      </c>
      <c r="G29" s="10" t="inlineStr">
        <is>
          <t>Day 0 (emergency)</t>
        </is>
      </c>
      <c r="H29" s="10" t="inlineStr">
        <is>
          <t>Perforated: washout + drain + prolonged IV antibiotics 5-7 days</t>
        </is>
      </c>
      <c r="I29" s="10" t="inlineStr">
        <is>
          <t>Uncomplicated: IV antibiotics 24h only</t>
        </is>
      </c>
    </row>
    <row r="30" ht="34.95" customHeight="1">
      <c r="A30" s="12" t="inlineStr">
        <is>
          <t>Appendectomy</t>
        </is>
      </c>
      <c r="B30" s="12" t="inlineStr">
        <is>
          <t>Laparoscopic Appendectomy</t>
        </is>
      </c>
      <c r="C30" s="12" t="inlineStr">
        <is>
          <t>3</t>
        </is>
      </c>
      <c r="D30" s="12" t="inlineStr">
        <is>
          <t>Discharge</t>
        </is>
      </c>
      <c r="E30" s="12" t="inlineStr">
        <is>
          <t>Uncomplicated: discharge Day 2; perforated: Day 5-8; wound review Day 7</t>
        </is>
      </c>
      <c r="F30" s="12" t="inlineStr">
        <is>
          <t>Surgeon</t>
        </is>
      </c>
      <c r="G30" s="12" t="inlineStr">
        <is>
          <t>Day 2 or Day 7</t>
        </is>
      </c>
      <c r="H30" s="12" t="inlineStr">
        <is>
          <t>Histology mandatory: rule out carcinoid/appendiceal tumour</t>
        </is>
      </c>
      <c r="I30" s="12" t="inlineStr">
        <is>
          <t>Return to work: 1-2 weeks uncomplicated</t>
        </is>
      </c>
    </row>
    <row r="31" ht="34.95" customHeight="1">
      <c r="A31" s="11" t="inlineStr">
        <is>
          <t>TURP - Prostate</t>
        </is>
      </c>
      <c r="B31" s="11" t="inlineStr">
        <is>
          <t>Standard TURP</t>
        </is>
      </c>
      <c r="C31" s="11" t="inlineStr">
        <is>
          <t>1</t>
        </is>
      </c>
      <c r="D31" s="11" t="inlineStr">
        <is>
          <t>Pre-Op Work-Up</t>
        </is>
      </c>
      <c r="E31" s="11" t="inlineStr">
        <is>
          <t>PSA, TRUS/MRI prostate, uroflowmetry, PVR, CBC, KFT, Coag, cystoscopy</t>
        </is>
      </c>
      <c r="F31" s="11" t="inlineStr">
        <is>
          <t>Urologist</t>
        </is>
      </c>
      <c r="G31" s="11" t="inlineStr">
        <is>
          <t>OPD + pre-op</t>
        </is>
      </c>
      <c r="H31" s="11" t="inlineStr">
        <is>
          <t>PSA &gt;10 + abnormal DRE: rule out prostate cancer before TURP</t>
        </is>
      </c>
      <c r="I31" s="11" t="inlineStr">
        <is>
          <t>Urine culture: treat UTI before surgery</t>
        </is>
      </c>
    </row>
    <row r="32" ht="34.95" customHeight="1">
      <c r="A32" s="10" t="inlineStr">
        <is>
          <t>TURP - Prostate</t>
        </is>
      </c>
      <c r="B32" s="10" t="inlineStr">
        <is>
          <t>Standard TURP</t>
        </is>
      </c>
      <c r="C32" s="10" t="inlineStr">
        <is>
          <t>2</t>
        </is>
      </c>
      <c r="D32" s="10" t="inlineStr">
        <is>
          <t>Surgery</t>
        </is>
      </c>
      <c r="E32" s="10" t="inlineStr">
        <is>
          <t>Spinal/GA; bipolar TURP (preferred) or monopolar; resect to capsule; continuous irrigation</t>
        </is>
      </c>
      <c r="F32" s="10" t="inlineStr">
        <is>
          <t>Urologist</t>
        </is>
      </c>
      <c r="G32" s="10" t="inlineStr">
        <is>
          <t>Day 0</t>
        </is>
      </c>
      <c r="H32" s="10" t="inlineStr">
        <is>
          <t>Irrigate with saline (bipolar) to prevent TUR syndrome</t>
        </is>
      </c>
      <c r="I32" s="10" t="inlineStr">
        <is>
          <t>Bleeding: coagulate systematically</t>
        </is>
      </c>
    </row>
    <row r="33" ht="34.95" customHeight="1">
      <c r="A33" s="12" t="inlineStr">
        <is>
          <t>TURP - Prostate</t>
        </is>
      </c>
      <c r="B33" s="12" t="inlineStr">
        <is>
          <t>Standard TURP</t>
        </is>
      </c>
      <c r="C33" s="12" t="inlineStr">
        <is>
          <t>3</t>
        </is>
      </c>
      <c r="D33" s="12" t="inlineStr">
        <is>
          <t>Post-Op</t>
        </is>
      </c>
      <c r="E33" s="12" t="inlineStr">
        <is>
          <t>3-way catheter + continuous irrigation Day 0-2; remove catheter Day 3-5; trial of void</t>
        </is>
      </c>
      <c r="F33" s="12" t="inlineStr">
        <is>
          <t>Urologist</t>
        </is>
      </c>
      <c r="G33" s="12" t="inlineStr">
        <is>
          <t>Day 3-5</t>
        </is>
      </c>
      <c r="H33" s="12" t="inlineStr">
        <is>
          <t>TUR syndrome: hyponatraemia, confusion = stop, check Na+ stat</t>
        </is>
      </c>
      <c r="I33" s="12" t="inlineStr">
        <is>
          <t>Retrograde ejaculation counselling pre-op</t>
        </is>
      </c>
    </row>
    <row r="34" ht="34.95" customHeight="1">
      <c r="A34" s="14" t="inlineStr">
        <is>
          <t>TURP - Prostate</t>
        </is>
      </c>
      <c r="B34" s="14" t="inlineStr">
        <is>
          <t>HoLEP</t>
        </is>
      </c>
      <c r="C34" s="14" t="inlineStr">
        <is>
          <t>1</t>
        </is>
      </c>
      <c r="D34" s="14" t="inlineStr">
        <is>
          <t>Pre-Op + Surgery</t>
        </is>
      </c>
      <c r="E34" s="14" t="inlineStr">
        <is>
          <t>Same work-up as TURP; HoLEP preferred for prostate &gt;80g; laser fiber setup; morcellator required</t>
        </is>
      </c>
      <c r="F34" s="14" t="inlineStr">
        <is>
          <t>Urologist</t>
        </is>
      </c>
      <c r="G34" s="14" t="inlineStr">
        <is>
          <t>Day 0</t>
        </is>
      </c>
      <c r="H34" s="14" t="inlineStr">
        <is>
          <t>Less bleeding than TURP; catheter removal Day 2 (faster)</t>
        </is>
      </c>
      <c r="I34" s="14" t="inlineStr">
        <is>
          <t>CGHS NU160 = 64980; laser fiber 10000-20000 extra</t>
        </is>
      </c>
    </row>
    <row r="35" ht="34.95" customHeight="1">
      <c r="A35" s="12" t="inlineStr">
        <is>
          <t>TURP - Prostate</t>
        </is>
      </c>
      <c r="B35" s="12" t="inlineStr">
        <is>
          <t>HoLEP</t>
        </is>
      </c>
      <c r="C35" s="12" t="inlineStr">
        <is>
          <t>2</t>
        </is>
      </c>
      <c r="D35" s="12" t="inlineStr">
        <is>
          <t>Post-Op + Discharge</t>
        </is>
      </c>
      <c r="E35" s="12" t="inlineStr">
        <is>
          <t>Catheter removal Day 2; discharge Day 2-3; uroflowmetry at 3 months</t>
        </is>
      </c>
      <c r="F35" s="12" t="inlineStr">
        <is>
          <t>Urologist</t>
        </is>
      </c>
      <c r="G35" s="12" t="inlineStr">
        <is>
          <t>Day 2, 3 months</t>
        </is>
      </c>
      <c r="H35" s="12" t="inlineStr">
        <is>
          <t>Urinary incontinence may persist 1-3 months (stress type)</t>
        </is>
      </c>
      <c r="I35" s="12" t="inlineStr">
        <is>
          <t>Tissue sent for histology (morcellate specimen)</t>
        </is>
      </c>
    </row>
    <row r="36" ht="34.95" customHeight="1">
      <c r="A36" s="14" t="inlineStr">
        <is>
          <t>Kidney Stone PCNL</t>
        </is>
      </c>
      <c r="B36" s="14" t="inlineStr">
        <is>
          <t>PCNL Unilateral</t>
        </is>
      </c>
      <c r="C36" s="14" t="inlineStr">
        <is>
          <t>1</t>
        </is>
      </c>
      <c r="D36" s="14" t="inlineStr">
        <is>
          <t>Pre-Op Work-Up</t>
        </is>
      </c>
      <c r="E36" s="14" t="inlineStr">
        <is>
          <t>Non-contrast CT KUB (stone size/HU/location), KFT, CBC, Urine culture, Coag; KUB X-Ray</t>
        </is>
      </c>
      <c r="F36" s="14" t="inlineStr">
        <is>
          <t>Urologist + Radiologist</t>
        </is>
      </c>
      <c r="G36" s="14" t="inlineStr">
        <is>
          <t>Pre-op</t>
        </is>
      </c>
      <c r="H36" s="14" t="inlineStr">
        <is>
          <t>Treat UTI pre-op; defer if active infection</t>
        </is>
      </c>
      <c r="I36" s="14" t="inlineStr">
        <is>
          <t>Stone &gt;2cm = PCNL preferred; 1-2cm = PCNL or RIRS</t>
        </is>
      </c>
    </row>
    <row r="37" ht="34.95" customHeight="1">
      <c r="A37" s="10" t="inlineStr">
        <is>
          <t>Kidney Stone PCNL</t>
        </is>
      </c>
      <c r="B37" s="10" t="inlineStr">
        <is>
          <t>PCNL Unilateral</t>
        </is>
      </c>
      <c r="C37" s="10" t="inlineStr">
        <is>
          <t>2</t>
        </is>
      </c>
      <c r="D37" s="10" t="inlineStr">
        <is>
          <t>Surgery</t>
        </is>
      </c>
      <c r="E37" s="10" t="inlineStr">
        <is>
          <t>GA/Spinal; prone position; USG/fluoroscopy guided puncture; nephroscopy; ultrasonic/laser lithotripsy; DJ stent + nephrostomy</t>
        </is>
      </c>
      <c r="F37" s="10" t="inlineStr">
        <is>
          <t>Urologist</t>
        </is>
      </c>
      <c r="G37" s="10" t="inlineStr">
        <is>
          <t>Day 0</t>
        </is>
      </c>
      <c r="H37" s="10" t="inlineStr">
        <is>
          <t>Mini-PCNL for 1-2cm stones reduces bleeding risk</t>
        </is>
      </c>
      <c r="I37" s="10" t="inlineStr">
        <is>
          <t>Second-look nephroscopy if residual fragments</t>
        </is>
      </c>
    </row>
    <row r="38" ht="34.95" customHeight="1">
      <c r="A38" s="12" t="inlineStr">
        <is>
          <t>Kidney Stone PCNL</t>
        </is>
      </c>
      <c r="B38" s="12" t="inlineStr">
        <is>
          <t>PCNL Unilateral</t>
        </is>
      </c>
      <c r="C38" s="12" t="inlineStr">
        <is>
          <t>3</t>
        </is>
      </c>
      <c r="D38" s="12" t="inlineStr">
        <is>
          <t>Post-Op</t>
        </is>
      </c>
      <c r="E38" s="12" t="inlineStr">
        <is>
          <t>Nephrostomy tube Day 1; CT/KUB Day 2 for stone clearance; remove nephrostomy Day 3-4</t>
        </is>
      </c>
      <c r="F38" s="12" t="inlineStr">
        <is>
          <t>Urologist</t>
        </is>
      </c>
      <c r="G38" s="12" t="inlineStr">
        <is>
          <t>Day 2-5</t>
        </is>
      </c>
      <c r="H38" s="12" t="inlineStr">
        <is>
          <t>Stone-free rate &gt;85%; residual &gt;4mm = re-PCNL or ESWL</t>
        </is>
      </c>
      <c r="I38" s="12" t="inlineStr">
        <is>
          <t>DJ stent removed cystoscopically at 4-6 weeks</t>
        </is>
      </c>
    </row>
    <row r="39" ht="34.95" customHeight="1">
      <c r="A39" s="11" t="inlineStr">
        <is>
          <t>Kidney Stone PCNL</t>
        </is>
      </c>
      <c r="B39" s="11" t="inlineStr">
        <is>
          <t>PCNL Unilateral</t>
        </is>
      </c>
      <c r="C39" s="11" t="inlineStr">
        <is>
          <t>4</t>
        </is>
      </c>
      <c r="D39" s="11" t="inlineStr">
        <is>
          <t>Metabolic Work-Up</t>
        </is>
      </c>
      <c r="E39" s="11" t="inlineStr">
        <is>
          <t>24h urine oxalate, calcium, uric acid, citrate; serum PTH if hypercalciuria; stone analysis</t>
        </is>
      </c>
      <c r="F39" s="11" t="inlineStr">
        <is>
          <t>Nephrologist + Urologist</t>
        </is>
      </c>
      <c r="G39" s="11" t="inlineStr">
        <is>
          <t>4-6 weeks post-op</t>
        </is>
      </c>
      <c r="H39" s="11" t="inlineStr">
        <is>
          <t>Recurrence rate 50% at 5 years without metabolic correction</t>
        </is>
      </c>
      <c r="I39" s="11" t="inlineStr">
        <is>
          <t>Increase fluid intake to 2.5L/day</t>
        </is>
      </c>
    </row>
    <row r="40" ht="34.95" customHeight="1">
      <c r="A40" s="14" t="inlineStr">
        <is>
          <t>Varicose Veins</t>
        </is>
      </c>
      <c r="B40" s="14" t="inlineStr">
        <is>
          <t>Laser Ablation EVLA</t>
        </is>
      </c>
      <c r="C40" s="14" t="inlineStr">
        <is>
          <t>1</t>
        </is>
      </c>
      <c r="D40" s="14" t="inlineStr">
        <is>
          <t>Duplex USG Mapping</t>
        </is>
      </c>
      <c r="E40" s="14" t="inlineStr">
        <is>
          <t>Map GSV/SSV reflux, junction competence, diameter; deep vein patency</t>
        </is>
      </c>
      <c r="F40" s="14" t="inlineStr">
        <is>
          <t>Vascular Surgeon + Radiologist</t>
        </is>
      </c>
      <c r="G40" s="14" t="inlineStr">
        <is>
          <t>OPD pre-op</t>
        </is>
      </c>
      <c r="H40" s="14" t="inlineStr">
        <is>
          <t>GSV &gt;7mm diameter = suitable for thermal ablation (EVLA/RFA)</t>
        </is>
      </c>
      <c r="I40" s="14" t="inlineStr">
        <is>
          <t>Deep vein obstruction = contraindication to ablation</t>
        </is>
      </c>
    </row>
    <row r="41" ht="34.95" customHeight="1">
      <c r="A41" s="11" t="inlineStr">
        <is>
          <t>Varicose Veins</t>
        </is>
      </c>
      <c r="B41" s="11" t="inlineStr">
        <is>
          <t>Laser Ablation EVLA</t>
        </is>
      </c>
      <c r="C41" s="11" t="inlineStr">
        <is>
          <t>2</t>
        </is>
      </c>
      <c r="D41" s="11" t="inlineStr">
        <is>
          <t>EVLA Procedure</t>
        </is>
      </c>
      <c r="E41" s="11" t="inlineStr">
        <is>
          <t>Tumescent LA; laser fiber insertion under duplex guidance; pullback 1cm/sec; compression dressing</t>
        </is>
      </c>
      <c r="F41" s="11" t="inlineStr">
        <is>
          <t>Vascular Surgeon</t>
        </is>
      </c>
      <c r="G41" s="11" t="inlineStr">
        <is>
          <t>Day 0 (day care)</t>
        </is>
      </c>
      <c r="H41" s="11" t="inlineStr">
        <is>
          <t>EVLA 1470nm or 980nm laser; fiber cost 20000-25000 (key tech cost)</t>
        </is>
      </c>
      <c r="I41" s="11" t="inlineStr">
        <is>
          <t>Phlebectomies of tributaries same sitting or 6 weeks later</t>
        </is>
      </c>
    </row>
    <row r="42" ht="34.95" customHeight="1">
      <c r="A42" s="14" t="inlineStr">
        <is>
          <t>Varicose Veins</t>
        </is>
      </c>
      <c r="B42" s="14" t="inlineStr">
        <is>
          <t>Laser Ablation EVLA</t>
        </is>
      </c>
      <c r="C42" s="14" t="inlineStr">
        <is>
          <t>3</t>
        </is>
      </c>
      <c r="D42" s="14" t="inlineStr">
        <is>
          <t>Post-Op + Follow-Up</t>
        </is>
      </c>
      <c r="E42" s="14" t="inlineStr">
        <is>
          <t>Compression stockings 2/52; walk immediately post-op; duplex at 1 week (occlusion check)</t>
        </is>
      </c>
      <c r="F42" s="14" t="inlineStr">
        <is>
          <t>Surgeon</t>
        </is>
      </c>
      <c r="G42" s="14" t="inlineStr">
        <is>
          <t>Day 7, 3 months</t>
        </is>
      </c>
      <c r="H42" s="14" t="inlineStr">
        <is>
          <t>DVT: rare but possible; Duplex Day 7 mandatory</t>
        </is>
      </c>
      <c r="I42" s="14" t="inlineStr">
        <is>
          <t>Return to normal activity next day</t>
        </is>
      </c>
    </row>
    <row r="43" ht="34.95" customHeight="1">
      <c r="A43" s="11" t="inlineStr">
        <is>
          <t>Piles Surgery</t>
        </is>
      </c>
      <c r="B43" s="11" t="inlineStr">
        <is>
          <t>Stapler Haemorrhoidectomy PPH</t>
        </is>
      </c>
      <c r="C43" s="11" t="inlineStr">
        <is>
          <t>1</t>
        </is>
      </c>
      <c r="D43" s="11" t="inlineStr">
        <is>
          <t>Assessment</t>
        </is>
      </c>
      <c r="E43" s="11" t="inlineStr">
        <is>
          <t>Proctoscopy/sigmoidoscopy; grade 3/4 haemorrhoids; rule out malignancy (colonoscopy if &gt;50yr)</t>
        </is>
      </c>
      <c r="F43" s="11" t="inlineStr">
        <is>
          <t>Colorectal Surgeon</t>
        </is>
      </c>
      <c r="G43" s="11" t="inlineStr">
        <is>
          <t>OPD</t>
        </is>
      </c>
      <c r="H43" s="11" t="inlineStr">
        <is>
          <t>PPH for Grade 3/4 circumferential prolapse; Laser for Grade 2/3</t>
        </is>
      </c>
      <c r="I43" s="11" t="inlineStr">
        <is>
          <t>Explain retrograde ejaculation risk in males</t>
        </is>
      </c>
    </row>
    <row r="44" ht="34.95" customHeight="1">
      <c r="A44" s="14" t="inlineStr">
        <is>
          <t>Piles Surgery</t>
        </is>
      </c>
      <c r="B44" s="14" t="inlineStr">
        <is>
          <t>Stapler Haemorrhoidectomy PPH</t>
        </is>
      </c>
      <c r="C44" s="14" t="inlineStr">
        <is>
          <t>2</t>
        </is>
      </c>
      <c r="D44" s="14" t="inlineStr">
        <is>
          <t>PPH Surgery</t>
        </is>
      </c>
      <c r="E44" s="14" t="inlineStr">
        <is>
          <t>SA/GA; purse-string suture; circular stapler deployment above dentate line; haemostasis</t>
        </is>
      </c>
      <c r="F44" s="14" t="inlineStr">
        <is>
          <t>Colorectal Surgeon</t>
        </is>
      </c>
      <c r="G44" s="14" t="inlineStr">
        <is>
          <t>Day 0</t>
        </is>
      </c>
      <c r="H44" s="14" t="inlineStr">
        <is>
          <t>Stapler GS019 = 29925; stapler cost avg 12000 extra (circular)</t>
        </is>
      </c>
      <c r="I44" s="14" t="inlineStr">
        <is>
          <t>Less post-op pain vs Milligan-Morgan</t>
        </is>
      </c>
    </row>
    <row r="45" ht="34.95" customHeight="1">
      <c r="A45" s="12" t="inlineStr">
        <is>
          <t>Piles Surgery</t>
        </is>
      </c>
      <c r="B45" s="12" t="inlineStr">
        <is>
          <t>Stapler Haemorrhoidectomy PPH</t>
        </is>
      </c>
      <c r="C45" s="12" t="inlineStr">
        <is>
          <t>3</t>
        </is>
      </c>
      <c r="D45" s="12" t="inlineStr">
        <is>
          <t>Discharge + Follow-Up</t>
        </is>
      </c>
      <c r="E45" s="12" t="inlineStr">
        <is>
          <t>Discharge Day 1; high-fibre diet + stool softeners; proctoscopy at 6 weeks</t>
        </is>
      </c>
      <c r="F45" s="12" t="inlineStr">
        <is>
          <t>Surgeon</t>
        </is>
      </c>
      <c r="G45" s="12" t="inlineStr">
        <is>
          <t>Day 1, 6 weeks</t>
        </is>
      </c>
      <c r="H45" s="12" t="inlineStr">
        <is>
          <t>Recurrence: 5-10% vs &lt;1% Milligan-Morgan; discuss with patient</t>
        </is>
      </c>
      <c r="I45" s="12" t="inlineStr">
        <is>
          <t>Return to work in 1 week</t>
        </is>
      </c>
    </row>
    <row r="46" ht="34.95" customHeight="1">
      <c r="A46" s="9" t="inlineStr">
        <is>
          <t>CABG - Bypass Surgery</t>
        </is>
      </c>
      <c r="B46" s="9" t="inlineStr">
        <is>
          <t>Standard On-Pump CABG</t>
        </is>
      </c>
      <c r="C46" s="9" t="inlineStr">
        <is>
          <t>1</t>
        </is>
      </c>
      <c r="D46" s="9" t="inlineStr">
        <is>
          <t>Pre-Op Assessment</t>
        </is>
      </c>
      <c r="E46" s="9" t="inlineStr">
        <is>
          <t>Coronary Angiography; ECHO (EF%, wall motion); CBC, Coag, KFT, LFT, Carotid Duplex</t>
        </is>
      </c>
      <c r="F46" s="9" t="inlineStr">
        <is>
          <t>Cardiothoracic Surgeon + Cardiologist</t>
        </is>
      </c>
      <c r="G46" s="9" t="inlineStr">
        <is>
          <t>1-2 weeks pre-op</t>
        </is>
      </c>
      <c r="H46" s="9" t="inlineStr">
        <is>
          <t>CABG preferred: Left Main disease, 3-vessel disease, SYNTAX &gt;32, EF&lt;35%</t>
        </is>
      </c>
      <c r="I46" s="9" t="inlineStr">
        <is>
          <t>LIMA to LAD: gold standard anastomosis</t>
        </is>
      </c>
    </row>
    <row r="47" ht="34.95" customHeight="1">
      <c r="A47" s="11" t="inlineStr">
        <is>
          <t>CABG - Bypass Surgery</t>
        </is>
      </c>
      <c r="B47" s="11" t="inlineStr">
        <is>
          <t>Standard On-Pump CABG</t>
        </is>
      </c>
      <c r="C47" s="11" t="inlineStr">
        <is>
          <t>2</t>
        </is>
      </c>
      <c r="D47" s="11" t="inlineStr">
        <is>
          <t>Surgery (On-Pump)</t>
        </is>
      </c>
      <c r="E47" s="11" t="inlineStr">
        <is>
          <t>Median sternotomy; cardiopulmonary bypass; cardioplegia; LIMA-LAD + SVG grafts; decannulation</t>
        </is>
      </c>
      <c r="F47" s="11" t="inlineStr">
        <is>
          <t>CT Surgeon + Perfusionist</t>
        </is>
      </c>
      <c r="G47" s="11" t="inlineStr">
        <is>
          <t>Day 0</t>
        </is>
      </c>
      <c r="H47" s="11" t="inlineStr">
        <is>
          <t>Off-pump (OPCAB) preferred for elderly/renal impairment (CV016 = 201780)</t>
        </is>
      </c>
      <c r="I47" s="11" t="inlineStr">
        <is>
          <t>Complete revascularisation target</t>
        </is>
      </c>
    </row>
    <row r="48" ht="34.95" customHeight="1">
      <c r="A48" s="15" t="inlineStr">
        <is>
          <t>CABG - Bypass Surgery</t>
        </is>
      </c>
      <c r="B48" s="15" t="inlineStr">
        <is>
          <t>Standard On-Pump CABG</t>
        </is>
      </c>
      <c r="C48" s="15" t="inlineStr">
        <is>
          <t>3</t>
        </is>
      </c>
      <c r="D48" s="15" t="inlineStr">
        <is>
          <t>ICU Care</t>
        </is>
      </c>
      <c r="E48" s="15" t="inlineStr">
        <is>
          <t>Ventilated ICU 6-24h; inotropes; serial ECG + troponin; drain output monitoring</t>
        </is>
      </c>
      <c r="F48" s="15" t="inlineStr">
        <is>
          <t>ICU Team + CT Surgeon</t>
        </is>
      </c>
      <c r="G48" s="15" t="inlineStr">
        <is>
          <t>Day 0-3</t>
        </is>
      </c>
      <c r="H48" s="15" t="inlineStr">
        <is>
          <t>Extubate within 6-8h if haemodynamically stable</t>
        </is>
      </c>
      <c r="I48" s="15" t="inlineStr">
        <is>
          <t>Graft occlusion: new ST change = urgent angiography</t>
        </is>
      </c>
    </row>
    <row r="49" ht="34.95" customHeight="1">
      <c r="A49" s="11" t="inlineStr">
        <is>
          <t>CABG - Bypass Surgery</t>
        </is>
      </c>
      <c r="B49" s="11" t="inlineStr">
        <is>
          <t>Standard On-Pump CABG</t>
        </is>
      </c>
      <c r="C49" s="11" t="inlineStr">
        <is>
          <t>4</t>
        </is>
      </c>
      <c r="D49" s="11" t="inlineStr">
        <is>
          <t>Ward + Discharge</t>
        </is>
      </c>
      <c r="E49" s="11" t="inlineStr">
        <is>
          <t>Mobilise Day 3-4; sternal precautions 6 weeks; discharge Day 7-10; cardiac rehab</t>
        </is>
      </c>
      <c r="F49" s="11" t="inlineStr">
        <is>
          <t>Physiotherapist + Surgeon</t>
        </is>
      </c>
      <c r="G49" s="11" t="inlineStr">
        <is>
          <t>Day 7-10</t>
        </is>
      </c>
      <c r="H49" s="11" t="inlineStr">
        <is>
          <t>DAPT + statin + ACEI + beta-blocker at discharge</t>
        </is>
      </c>
      <c r="I49" s="11" t="inlineStr">
        <is>
          <t>Sternal wound: no driving 6 weeks</t>
        </is>
      </c>
    </row>
    <row r="50" ht="34.95" customHeight="1">
      <c r="A50" s="13" t="inlineStr">
        <is>
          <t>CABG - Bypass Surgery</t>
        </is>
      </c>
      <c r="B50" s="13" t="inlineStr">
        <is>
          <t>Standard On-Pump CABG</t>
        </is>
      </c>
      <c r="C50" s="13" t="inlineStr">
        <is>
          <t>5</t>
        </is>
      </c>
      <c r="D50" s="13" t="inlineStr">
        <is>
          <t>Follow-Up</t>
        </is>
      </c>
      <c r="E50" s="13" t="inlineStr">
        <is>
          <t>ECG + ECHO at 6 weeks; stress test at 3 months; angiography if symptoms recur</t>
        </is>
      </c>
      <c r="F50" s="13" t="inlineStr">
        <is>
          <t>Cardiologist</t>
        </is>
      </c>
      <c r="G50" s="13" t="inlineStr">
        <is>
          <t>6 weeks, 3 months, 1 year</t>
        </is>
      </c>
      <c r="H50" s="13" t="inlineStr">
        <is>
          <t>Graft patency: LIMA 10-year &gt;90%; SVG 50% at 10 years</t>
        </is>
      </c>
      <c r="I50" s="13" t="inlineStr">
        <is>
          <t>Secondary prevention lifelong</t>
        </is>
      </c>
    </row>
    <row r="51" ht="34.95" customHeight="1">
      <c r="A51" s="11" t="inlineStr">
        <is>
          <t>Chemotherapy</t>
        </is>
      </c>
      <c r="B51" s="11" t="inlineStr">
        <is>
          <t>Single Drug Chemotherapy</t>
        </is>
      </c>
      <c r="C51" s="11" t="inlineStr">
        <is>
          <t>1</t>
        </is>
      </c>
      <c r="D51" s="11" t="inlineStr">
        <is>
          <t>Oncology Assessment</t>
        </is>
      </c>
      <c r="E51" s="11" t="inlineStr">
        <is>
          <t>Histopathology (biopsy/FNAC), staging CT/PET-CT, KFT, LFT, CBC, ECHO (cardiotoxic agents)</t>
        </is>
      </c>
      <c r="F51" s="11" t="inlineStr">
        <is>
          <t>Medical Oncologist</t>
        </is>
      </c>
      <c r="G51" s="11" t="inlineStr">
        <is>
          <t>Before cycle 1</t>
        </is>
      </c>
      <c r="H51" s="11" t="inlineStr">
        <is>
          <t>Curative vs palliative intent; performance status ECOG 0-2 for standard chemo</t>
        </is>
      </c>
      <c r="I51" s="11" t="inlineStr">
        <is>
          <t>PICC/port insertion if multiple cycles planned</t>
        </is>
      </c>
    </row>
    <row r="52" ht="34.95" customHeight="1">
      <c r="A52" s="14" t="inlineStr">
        <is>
          <t>Chemotherapy</t>
        </is>
      </c>
      <c r="B52" s="14" t="inlineStr">
        <is>
          <t>Single Drug Chemotherapy</t>
        </is>
      </c>
      <c r="C52" s="14" t="inlineStr">
        <is>
          <t>2</t>
        </is>
      </c>
      <c r="D52" s="14" t="inlineStr">
        <is>
          <t>Pre-Cycle Assessment</t>
        </is>
      </c>
      <c r="E52" s="14" t="inlineStr">
        <is>
          <t>CBC (ANC &gt;1500, PLT &gt;100K), KFT, LFT; antiemetics; growth factors if needed</t>
        </is>
      </c>
      <c r="F52" s="14" t="inlineStr">
        <is>
          <t>Oncologist + Chemo Nurse</t>
        </is>
      </c>
      <c r="G52" s="14" t="inlineStr">
        <is>
          <t>Day 1 each cycle</t>
        </is>
      </c>
      <c r="H52" s="14" t="inlineStr">
        <is>
          <t>Dose reduce by 25% if ANC 1000-1500 at nadir; delay if &lt;1000</t>
        </is>
      </c>
      <c r="I52" s="14" t="inlineStr">
        <is>
          <t>Hydration pre-chemo for cisplatin/nephrotoxic agents</t>
        </is>
      </c>
    </row>
    <row r="53" ht="34.95" customHeight="1">
      <c r="A53" s="11" t="inlineStr">
        <is>
          <t>Chemotherapy</t>
        </is>
      </c>
      <c r="B53" s="11" t="inlineStr">
        <is>
          <t>Single Drug Chemotherapy</t>
        </is>
      </c>
      <c r="C53" s="11" t="inlineStr">
        <is>
          <t>3</t>
        </is>
      </c>
      <c r="D53" s="11" t="inlineStr">
        <is>
          <t>Administration</t>
        </is>
      </c>
      <c r="E53" s="11" t="inlineStr">
        <is>
          <t>Drug reconstitution + infusion per protocol; anaphylaxis trolley standby; vitals q30 min</t>
        </is>
      </c>
      <c r="F53" s="11" t="inlineStr">
        <is>
          <t>Chemo Nurse + Pharmacist</t>
        </is>
      </c>
      <c r="G53" s="11" t="inlineStr">
        <is>
          <t>Day 0 (day care)</t>
        </is>
      </c>
      <c r="H53" s="11" t="inlineStr">
        <is>
          <t>Paclitaxel: premedicate with dexamethasone + antihistamine</t>
        </is>
      </c>
      <c r="I53" s="11" t="inlineStr">
        <is>
          <t>GCSF Day 2-10 if febrile neutropenia risk &gt;20%</t>
        </is>
      </c>
    </row>
    <row r="54" ht="34.95" customHeight="1">
      <c r="A54" s="14" t="inlineStr">
        <is>
          <t>Chemotherapy</t>
        </is>
      </c>
      <c r="B54" s="14" t="inlineStr">
        <is>
          <t>Single Drug Chemotherapy</t>
        </is>
      </c>
      <c r="C54" s="14" t="inlineStr">
        <is>
          <t>4</t>
        </is>
      </c>
      <c r="D54" s="14" t="inlineStr">
        <is>
          <t>Monitoring + Toxicity</t>
        </is>
      </c>
      <c r="E54" s="14" t="inlineStr">
        <is>
          <t>CBC nadir Day 7-14; ECHO q3 cycles (anthracyclines); peripheral neuropathy assessment</t>
        </is>
      </c>
      <c r="F54" s="14" t="inlineStr">
        <is>
          <t>Oncologist</t>
        </is>
      </c>
      <c r="G54" s="14" t="inlineStr">
        <is>
          <t>Weekly (CBC), q3 cycles (ECHO)</t>
        </is>
      </c>
      <c r="H54" s="14" t="inlineStr">
        <is>
          <t>Discontinue if LVEF drops &gt;10% below baseline or &lt;50%</t>
        </is>
      </c>
      <c r="I54" s="14" t="inlineStr">
        <is>
          <t>GI toxicity: loperamide; mucositis: mouthwash + antifungal</t>
        </is>
      </c>
    </row>
    <row r="55" ht="34.95" customHeight="1">
      <c r="A55" s="11" t="inlineStr">
        <is>
          <t>Radiation Therapy</t>
        </is>
      </c>
      <c r="B55" s="11" t="inlineStr">
        <is>
          <t>IMRT/VMAT (Level 5)</t>
        </is>
      </c>
      <c r="C55" s="11" t="inlineStr">
        <is>
          <t>1</t>
        </is>
      </c>
      <c r="D55" s="11" t="inlineStr">
        <is>
          <t>Simulation + Planning</t>
        </is>
      </c>
      <c r="E55" s="11" t="inlineStr">
        <is>
          <t>CT simulation with immobilisation mask; target volume delineation GTV/CTV/PTV; dose prescription</t>
        </is>
      </c>
      <c r="F55" s="11" t="inlineStr">
        <is>
          <t>Radiation Oncologist + Medical Physicist</t>
        </is>
      </c>
      <c r="G55" s="11" t="inlineStr">
        <is>
          <t>1-2 weeks pre-treatment</t>
        </is>
      </c>
      <c r="H55" s="11" t="inlineStr">
        <is>
          <t>IMRT for prostate, H&amp;N, breast, CNS tumours near critical structures</t>
        </is>
      </c>
      <c r="I55" s="11" t="inlineStr">
        <is>
          <t>IGRT daily verification with CBCT</t>
        </is>
      </c>
    </row>
    <row r="56" ht="34.95" customHeight="1">
      <c r="A56" s="14" t="inlineStr">
        <is>
          <t>Radiation Therapy</t>
        </is>
      </c>
      <c r="B56" s="14" t="inlineStr">
        <is>
          <t>IMRT/VMAT (Level 5)</t>
        </is>
      </c>
      <c r="C56" s="14" t="inlineStr">
        <is>
          <t>2</t>
        </is>
      </c>
      <c r="D56" s="14" t="inlineStr">
        <is>
          <t>Treatment Delivery</t>
        </is>
      </c>
      <c r="E56" s="14" t="inlineStr">
        <is>
          <t>Daily fraction (weekdays); IGRT position verification each session; fraction dose 1.8-2 Gy</t>
        </is>
      </c>
      <c r="F56" s="14" t="inlineStr">
        <is>
          <t>Radiation Therapist + Physicist</t>
        </is>
      </c>
      <c r="G56" s="14" t="inlineStr">
        <is>
          <t>Daily x 25-35 sessions</t>
        </is>
      </c>
      <c r="H56" s="14" t="inlineStr">
        <is>
          <t>VMAT: rotational arc reduces treatment time to &lt;5 min per fraction</t>
        </is>
      </c>
      <c r="I56" s="14" t="inlineStr">
        <is>
          <t>Weekly on-treatment review by radiation oncologist</t>
        </is>
      </c>
    </row>
    <row r="57" ht="34.95" customHeight="1">
      <c r="A57" s="13" t="inlineStr">
        <is>
          <t>Radiation Therapy</t>
        </is>
      </c>
      <c r="B57" s="13" t="inlineStr">
        <is>
          <t>IMRT/VMAT (Level 5)</t>
        </is>
      </c>
      <c r="C57" s="13" t="inlineStr">
        <is>
          <t>3</t>
        </is>
      </c>
      <c r="D57" s="13" t="inlineStr">
        <is>
          <t>Follow-Up</t>
        </is>
      </c>
      <c r="E57" s="13" t="inlineStr">
        <is>
          <t>Acute toxicity management; review at 6 weeks, 3 months, 6 months post-RT</t>
        </is>
      </c>
      <c r="F57" s="13" t="inlineStr">
        <is>
          <t>Radiation Oncologist</t>
        </is>
      </c>
      <c r="G57" s="13" t="inlineStr">
        <is>
          <t>6 weeks, 3m, 6m, 1 year</t>
        </is>
      </c>
      <c r="H57" s="13" t="inlineStr">
        <is>
          <t>Late toxicity: fibrosis, lymphoedema, secondary malignancy (rare)</t>
        </is>
      </c>
      <c r="I57" s="13" t="inlineStr">
        <is>
          <t>Response assessment CT/PET at 3 months post-RT</t>
        </is>
      </c>
    </row>
    <row r="58" ht="34.95" customHeight="1">
      <c r="A58" s="14" t="inlineStr">
        <is>
          <t>Dialysis per Session</t>
        </is>
      </c>
      <c r="B58" s="14" t="inlineStr">
        <is>
          <t>Haemodialysis (HD) - Standard</t>
        </is>
      </c>
      <c r="C58" s="14" t="inlineStr">
        <is>
          <t>1</t>
        </is>
      </c>
      <c r="D58" s="14" t="inlineStr">
        <is>
          <t>Access + Initiation</t>
        </is>
      </c>
      <c r="E58" s="14" t="inlineStr">
        <is>
          <t>AV fistula creation (NU106 = 17100); allow maturation 6-8 weeks; if urgent: tunnelled catheter</t>
        </is>
      </c>
      <c r="F58" s="14" t="inlineStr">
        <is>
          <t>Nephrologist + Vascular Surgeon</t>
        </is>
      </c>
      <c r="G58" s="14" t="inlineStr">
        <is>
          <t>CKD Stage 5 (eGFR &lt;15)</t>
        </is>
      </c>
      <c r="H58" s="14" t="inlineStr">
        <is>
          <t>Fistula first policy; catheter as bridge only</t>
        </is>
      </c>
      <c r="I58" s="14" t="inlineStr">
        <is>
          <t>Start HD: uraemic symptoms or K+ &gt;6.5 or fluid overload</t>
        </is>
      </c>
    </row>
    <row r="59" ht="34.95" customHeight="1">
      <c r="A59" s="11" t="inlineStr">
        <is>
          <t>Dialysis per Session</t>
        </is>
      </c>
      <c r="B59" s="11" t="inlineStr">
        <is>
          <t>Haemodialysis (HD) - Standard</t>
        </is>
      </c>
      <c r="C59" s="11" t="inlineStr">
        <is>
          <t>2</t>
        </is>
      </c>
      <c r="D59" s="11" t="inlineStr">
        <is>
          <t>Each HD Session</t>
        </is>
      </c>
      <c r="E59" s="11" t="inlineStr">
        <is>
          <t>4h session; blood flow 250-300 ml/min; dialysate 500ml/min; ultrafiltration to dry weight</t>
        </is>
      </c>
      <c r="F59" s="11" t="inlineStr">
        <is>
          <t>Dialysis Nurse + Nephrologist</t>
        </is>
      </c>
      <c r="G59" s="11" t="inlineStr">
        <is>
          <t>3x weekly</t>
        </is>
      </c>
      <c r="H59" s="11" t="inlineStr">
        <is>
          <t>Target Kt/V &gt;1.4 per session; URR &gt;65%</t>
        </is>
      </c>
      <c r="I59" s="11" t="inlineStr">
        <is>
          <t>Anticoagulation: UFH or low-molecular-weight heparin per session</t>
        </is>
      </c>
    </row>
    <row r="60" ht="34.95" customHeight="1">
      <c r="A60" s="14" t="inlineStr">
        <is>
          <t>Dialysis per Session</t>
        </is>
      </c>
      <c r="B60" s="14" t="inlineStr">
        <is>
          <t>Haemodialysis (HD) - Standard</t>
        </is>
      </c>
      <c r="C60" s="14" t="inlineStr">
        <is>
          <t>3</t>
        </is>
      </c>
      <c r="D60" s="14" t="inlineStr">
        <is>
          <t>Ongoing Monitoring</t>
        </is>
      </c>
      <c r="E60" s="14" t="inlineStr">
        <is>
          <t>Monthly: CBC, KFT, phosphate, PTH, albumin, HBsAg/HCV/HIV q6 months</t>
        </is>
      </c>
      <c r="F60" s="14" t="inlineStr">
        <is>
          <t>Nephrologist</t>
        </is>
      </c>
      <c r="G60" s="14" t="inlineStr">
        <is>
          <t>Monthly labs, q6 months serology</t>
        </is>
      </c>
      <c r="H60" s="14" t="inlineStr">
        <is>
          <t>Hb target 10-12 g/dL; EPO + IV iron if Hb &lt;10</t>
        </is>
      </c>
      <c r="I60" s="14" t="inlineStr">
        <is>
          <t>Renal transplant assessment referral when CKD5</t>
        </is>
      </c>
    </row>
    <row r="61" ht="34.95" customHeight="1">
      <c r="A61" s="9" t="inlineStr">
        <is>
          <t>Neurosurgery - Brain Tumor</t>
        </is>
      </c>
      <c r="B61" s="9" t="inlineStr">
        <is>
          <t>Image Guided Craniotomy</t>
        </is>
      </c>
      <c r="C61" s="9" t="inlineStr">
        <is>
          <t>1</t>
        </is>
      </c>
      <c r="D61" s="9" t="inlineStr">
        <is>
          <t>Pre-Op Assessment</t>
        </is>
      </c>
      <c r="E61" s="9" t="inlineStr">
        <is>
          <t>MRI brain with contrast (gadolinium); MR spectroscopy; functional MRI (eloquent areas); angiography if vascular</t>
        </is>
      </c>
      <c r="F61" s="9" t="inlineStr">
        <is>
          <t>Neurosurgeon + Neuroradiologist</t>
        </is>
      </c>
      <c r="G61" s="9" t="inlineStr">
        <is>
          <t>1-2 weeks pre-op</t>
        </is>
      </c>
      <c r="H61" s="9" t="inlineStr">
        <is>
          <t>Biopsy first if eloquent area or deep-seated; surgery if &gt;3cm accessible</t>
        </is>
      </c>
      <c r="I61" s="9" t="inlineStr">
        <is>
          <t>Dexamethasone 4-8mg TDS to reduce oedema pre-op</t>
        </is>
      </c>
    </row>
    <row r="62" ht="34.95" customHeight="1">
      <c r="A62" s="10" t="inlineStr">
        <is>
          <t>Neurosurgery - Brain Tumor</t>
        </is>
      </c>
      <c r="B62" s="10" t="inlineStr">
        <is>
          <t>Image Guided Craniotomy</t>
        </is>
      </c>
      <c r="C62" s="10" t="inlineStr">
        <is>
          <t>2</t>
        </is>
      </c>
      <c r="D62" s="10" t="inlineStr">
        <is>
          <t>Surgery</t>
        </is>
      </c>
      <c r="E62" s="10" t="inlineStr">
        <is>
          <t>Neuronavigation setup (BrainLab/StealthStation); craniotomy; CUSA tumour resection; intraop ultrasound; haemostasis</t>
        </is>
      </c>
      <c r="F62" s="10" t="inlineStr">
        <is>
          <t>Neurosurgeon</t>
        </is>
      </c>
      <c r="G62" s="10" t="inlineStr">
        <is>
          <t>Day 0</t>
        </is>
      </c>
      <c r="H62" s="10" t="inlineStr">
        <is>
          <t>Goal: maximal safe resection (&gt;95% resection = improved survival for GBM)</t>
        </is>
      </c>
      <c r="I62" s="10" t="inlineStr">
        <is>
          <t>Intraop fluorescence (5-ALA) for GBM to identify tumour margins</t>
        </is>
      </c>
    </row>
    <row r="63" ht="34.95" customHeight="1">
      <c r="A63" s="15" t="inlineStr">
        <is>
          <t>Neurosurgery - Brain Tumor</t>
        </is>
      </c>
      <c r="B63" s="15" t="inlineStr">
        <is>
          <t>Image Guided Craniotomy</t>
        </is>
      </c>
      <c r="C63" s="15" t="inlineStr">
        <is>
          <t>3</t>
        </is>
      </c>
      <c r="D63" s="15" t="inlineStr">
        <is>
          <t>ICU + Recovery</t>
        </is>
      </c>
      <c r="E63" s="15" t="inlineStr">
        <is>
          <t>ICU 24-48h; neuro obs q1h; CT head post-op same day; steroids taper</t>
        </is>
      </c>
      <c r="F63" s="15" t="inlineStr">
        <is>
          <t>Neurosurgeon + ICU Team</t>
        </is>
      </c>
      <c r="G63" s="15" t="inlineStr">
        <is>
          <t>Day 0-3</t>
        </is>
      </c>
      <c r="H63" s="15" t="inlineStr">
        <is>
          <t>New neuro deficit post-op: urgent CT to rule out haematoma</t>
        </is>
      </c>
      <c r="I63" s="15" t="inlineStr">
        <is>
          <t>MRI within 72h post-op: residual tumour assessment</t>
        </is>
      </c>
    </row>
    <row r="64" ht="34.95" customHeight="1">
      <c r="A64" s="14" t="inlineStr">
        <is>
          <t>Neurosurgery - Brain Tumor</t>
        </is>
      </c>
      <c r="B64" s="14" t="inlineStr">
        <is>
          <t>Image Guided Craniotomy</t>
        </is>
      </c>
      <c r="C64" s="14" t="inlineStr">
        <is>
          <t>4</t>
        </is>
      </c>
      <c r="D64" s="14" t="inlineStr">
        <is>
          <t>Adjuvant Treatment</t>
        </is>
      </c>
      <c r="E64" s="14" t="inlineStr">
        <is>
          <t>Neuropathology result guides adjuvant: GBM = RT + TMZ (Stupp); Low-grade = RT alone or watch</t>
        </is>
      </c>
      <c r="F64" s="14" t="inlineStr">
        <is>
          <t>Multidisciplinary Tumour Board</t>
        </is>
      </c>
      <c r="G64" s="14" t="inlineStr">
        <is>
          <t>2-4 weeks post-op</t>
        </is>
      </c>
      <c r="H64" s="14" t="inlineStr">
        <is>
          <t>IDH mutation, MGMT methylation = favourable prognosis in GBM</t>
        </is>
      </c>
      <c r="I64" s="14" t="inlineStr">
        <is>
          <t>Steroids taper over 2 weeks</t>
        </is>
      </c>
    </row>
    <row r="65" ht="34.95" customHeight="1">
      <c r="A65" s="9" t="inlineStr">
        <is>
          <t>Spinal Surgery</t>
        </is>
      </c>
      <c r="B65" s="9" t="inlineStr">
        <is>
          <t>Lumbar Discectomy / Microdiscectomy</t>
        </is>
      </c>
      <c r="C65" s="9" t="inlineStr">
        <is>
          <t>1</t>
        </is>
      </c>
      <c r="D65" s="9" t="inlineStr">
        <is>
          <t>Pre-Op Assessment</t>
        </is>
      </c>
      <c r="E65" s="9" t="inlineStr">
        <is>
          <t>MRI lumbar spine (level + side of prolapse); NCS/EMG if motor deficit; conservative trial 6 weeks first</t>
        </is>
      </c>
      <c r="F65" s="9" t="inlineStr">
        <is>
          <t>Neurosurgeon / Spine Surgeon</t>
        </is>
      </c>
      <c r="G65" s="9" t="inlineStr">
        <is>
          <t>6 weeks conservative first</t>
        </is>
      </c>
      <c r="H65" s="9" t="inlineStr">
        <is>
          <t>Urgent surgery: foot drop, cauda equina syndrome, progressive motor deficit</t>
        </is>
      </c>
      <c r="I65" s="9" t="inlineStr">
        <is>
          <t>Steroid epidural if surgery deferred</t>
        </is>
      </c>
    </row>
    <row r="66" ht="34.95" customHeight="1">
      <c r="A66" s="14" t="inlineStr">
        <is>
          <t>Spinal Surgery</t>
        </is>
      </c>
      <c r="B66" s="14" t="inlineStr">
        <is>
          <t>Lumbar Discectomy / Microdiscectomy</t>
        </is>
      </c>
      <c r="C66" s="14" t="inlineStr">
        <is>
          <t>2</t>
        </is>
      </c>
      <c r="D66" s="14" t="inlineStr">
        <is>
          <t>Microdiscectomy</t>
        </is>
      </c>
      <c r="E66" s="14" t="inlineStr">
        <is>
          <t>GA/Spinal; prone position; laminotomy; microscope; disc fragment removal; root decompression</t>
        </is>
      </c>
      <c r="F66" s="14" t="inlineStr">
        <is>
          <t>Surgeon</t>
        </is>
      </c>
      <c r="G66" s="14" t="inlineStr">
        <is>
          <t>Day 0</t>
        </is>
      </c>
      <c r="H66" s="14" t="inlineStr">
        <is>
          <t>Confirm level with intraop fluoroscopy; avoid over-aggressive disc removal</t>
        </is>
      </c>
      <c r="I66" s="14" t="inlineStr">
        <is>
          <t>Dural tear: primary repair + bed rest 24h</t>
        </is>
      </c>
    </row>
    <row r="67" ht="34.95" customHeight="1">
      <c r="A67" s="12" t="inlineStr">
        <is>
          <t>Spinal Surgery</t>
        </is>
      </c>
      <c r="B67" s="12" t="inlineStr">
        <is>
          <t>Lumbar Discectomy / Microdiscectomy</t>
        </is>
      </c>
      <c r="C67" s="12" t="inlineStr">
        <is>
          <t>3</t>
        </is>
      </c>
      <c r="D67" s="12" t="inlineStr">
        <is>
          <t>Post-Op + Discharge</t>
        </is>
      </c>
      <c r="E67" s="12" t="inlineStr">
        <is>
          <t>Mobilise Day 1; discharge Day 2-3; physiotherapy + core strengthening 6 weeks</t>
        </is>
      </c>
      <c r="F67" s="12" t="inlineStr">
        <is>
          <t>Physiotherapist + Surgeon</t>
        </is>
      </c>
      <c r="G67" s="12" t="inlineStr">
        <is>
          <t>Day 2, 6 weeks, 3 months</t>
        </is>
      </c>
      <c r="H67" s="12" t="inlineStr">
        <is>
          <t>Leg pain relief immediate in &gt;80%; back pain may persist</t>
        </is>
      </c>
      <c r="I67" s="12" t="inlineStr">
        <is>
          <t>Return to desk work 2-4 weeks; manual work 6-12 weeks</t>
        </is>
      </c>
    </row>
    <row r="68" ht="34.95" customHeight="1">
      <c r="A68" s="14" t="inlineStr">
        <is>
          <t>Spinal Surgery</t>
        </is>
      </c>
      <c r="B68" s="14" t="inlineStr">
        <is>
          <t>Spinal Fusion 2-Level</t>
        </is>
      </c>
      <c r="C68" s="14" t="inlineStr">
        <is>
          <t>1</t>
        </is>
      </c>
      <c r="D68" s="14" t="inlineStr">
        <is>
          <t>Pre-Op Workup</t>
        </is>
      </c>
      <c r="E68" s="14" t="inlineStr">
        <is>
          <t>MRI + CT spine; standing X-ray (alignment); DEXA if osteoporosis; KFT, CBC, Coag, ECG</t>
        </is>
      </c>
      <c r="F68" s="14" t="inlineStr">
        <is>
          <t>Spine Surgeon + Anaesthetist</t>
        </is>
      </c>
      <c r="G68" s="14" t="inlineStr">
        <is>
          <t>1-2 weeks pre-op</t>
        </is>
      </c>
      <c r="H68" s="14" t="inlineStr">
        <is>
          <t>Fusion indicated: spondylolisthesis, instability, deformity, failed discectomy</t>
        </is>
      </c>
      <c r="I68" s="14" t="inlineStr">
        <is>
          <t>Pedicle screw trajectory planning on CT</t>
        </is>
      </c>
    </row>
    <row r="69" ht="34.95" customHeight="1">
      <c r="A69" s="11" t="inlineStr">
        <is>
          <t>Spinal Surgery</t>
        </is>
      </c>
      <c r="B69" s="11" t="inlineStr">
        <is>
          <t>Spinal Fusion 2-Level</t>
        </is>
      </c>
      <c r="C69" s="11" t="inlineStr">
        <is>
          <t>2</t>
        </is>
      </c>
      <c r="D69" s="11" t="inlineStr">
        <is>
          <t>Fusion Surgery</t>
        </is>
      </c>
      <c r="E69" s="11" t="inlineStr">
        <is>
          <t>PLIF/TLIF; pedicle screws + rods + cage + bone graft; intraop neuromonitoring (SSEP/MEP)</t>
        </is>
      </c>
      <c r="F69" s="11" t="inlineStr">
        <is>
          <t>Spine Surgeon + Neurophysiologist</t>
        </is>
      </c>
      <c r="G69" s="11" t="inlineStr">
        <is>
          <t>Day 0</t>
        </is>
      </c>
      <c r="H69" s="11" t="inlineStr">
        <is>
          <t>Robotic guidance reduces misplacement; conventional fluoroscopy standard</t>
        </is>
      </c>
      <c r="I69" s="11" t="inlineStr">
        <is>
          <t>Cell saver mandatory for multi-level fusion</t>
        </is>
      </c>
    </row>
    <row r="70" ht="34.95" customHeight="1">
      <c r="A70" s="12" t="inlineStr">
        <is>
          <t>Spinal Surgery</t>
        </is>
      </c>
      <c r="B70" s="12" t="inlineStr">
        <is>
          <t>Spinal Fusion 2-Level</t>
        </is>
      </c>
      <c r="C70" s="12" t="inlineStr">
        <is>
          <t>3</t>
        </is>
      </c>
      <c r="D70" s="12" t="inlineStr">
        <is>
          <t>Recovery + Follow-Up</t>
        </is>
      </c>
      <c r="E70" s="12" t="inlineStr">
        <is>
          <t>ICU if complex; mobilise Day 2-3; TLSO brace; CT fusion assessment at 6 months</t>
        </is>
      </c>
      <c r="F70" s="12" t="inlineStr">
        <is>
          <t>Surgeon + Physio</t>
        </is>
      </c>
      <c r="G70" s="12" t="inlineStr">
        <is>
          <t>Day 3, 6 weeks, 6 months, 1 year</t>
        </is>
      </c>
      <c r="H70" s="12" t="inlineStr">
        <is>
          <t>Non-union at 6 months: revision or bone stimulator</t>
        </is>
      </c>
      <c r="I70" s="12" t="inlineStr">
        <is>
          <t>Return to light work 3 months; fusion confirmed by CT at 6 months</t>
        </is>
      </c>
    </row>
    <row r="71" ht="34.95" customHeight="1">
      <c r="A71" s="9" t="inlineStr">
        <is>
          <t>Hernia Repair</t>
        </is>
      </c>
      <c r="B71" s="9" t="inlineStr">
        <is>
          <t>Ventral/Incisional Hernia</t>
        </is>
      </c>
      <c r="C71" s="9" t="n">
        <v>1</v>
      </c>
      <c r="D71" s="9" t="inlineStr">
        <is>
          <t>Pre-Op Assessment</t>
        </is>
      </c>
      <c r="E71" s="9" t="inlineStr">
        <is>
          <t>CT abdomen to map defect size/content; CBC, KFT, LFT, Coag; optimise obesity/DM/smoking</t>
        </is>
      </c>
      <c r="F71" s="9" t="inlineStr">
        <is>
          <t>Surgeon + Anaesthetist</t>
        </is>
      </c>
      <c r="G71" s="9" t="inlineStr">
        <is>
          <t>1-2 weeks pre-op</t>
        </is>
      </c>
      <c r="H71" s="9" t="inlineStr">
        <is>
          <t>Defect &gt;10cm: prefer open sublay; &lt;10cm: Lap IPOM feasible</t>
        </is>
      </c>
      <c r="I71" s="9" t="inlineStr">
        <is>
          <t>Nutrition optimisation if malnourished pre-op</t>
        </is>
      </c>
    </row>
    <row r="72" ht="34.95" customHeight="1">
      <c r="A72" s="10" t="inlineStr">
        <is>
          <t>Hernia Repair</t>
        </is>
      </c>
      <c r="B72" s="10" t="inlineStr">
        <is>
          <t>Ventral/Incisional Hernia</t>
        </is>
      </c>
      <c r="C72" s="10" t="n">
        <v>2</v>
      </c>
      <c r="D72" s="10" t="inlineStr">
        <is>
          <t>Surgery</t>
        </is>
      </c>
      <c r="E72" s="10" t="inlineStr">
        <is>
          <t>Open sublay mesh OR Lap IPOM composite mesh; drain placement; fascial closure attempt</t>
        </is>
      </c>
      <c r="F72" s="10" t="inlineStr">
        <is>
          <t>Surgeon</t>
        </is>
      </c>
      <c r="G72" s="10" t="inlineStr">
        <is>
          <t>Day 0</t>
        </is>
      </c>
      <c r="H72" s="10" t="inlineStr">
        <is>
          <t>Composite PTFE+PP mesh for IPOM (intra-abdominal); PP mesh for sublay only</t>
        </is>
      </c>
      <c r="I72" s="10" t="inlineStr">
        <is>
          <t>Avoid direct skin contact with polypropylene mesh intraperitoneally</t>
        </is>
      </c>
    </row>
    <row r="73" ht="34.95" customHeight="1">
      <c r="A73" s="12" t="inlineStr">
        <is>
          <t>Hernia Repair</t>
        </is>
      </c>
      <c r="B73" s="12" t="inlineStr">
        <is>
          <t>Ventral/Incisional Hernia</t>
        </is>
      </c>
      <c r="C73" s="12" t="n">
        <v>3</v>
      </c>
      <c r="D73" s="12" t="inlineStr">
        <is>
          <t>Post-Op + Discharge</t>
        </is>
      </c>
      <c r="E73" s="12" t="inlineStr">
        <is>
          <t>Drain till &lt;30ml/day (seroma risk); abdominal binder 6-8 weeks; no heavy lifting 3 months</t>
        </is>
      </c>
      <c r="F73" s="12" t="inlineStr">
        <is>
          <t>Surgeon</t>
        </is>
      </c>
      <c r="G73" s="12" t="inlineStr">
        <is>
          <t>Day 3-5, 6 weeks, 3 months</t>
        </is>
      </c>
      <c r="H73" s="12" t="inlineStr">
        <is>
          <t>Seroma is common, usually self-resolving; aspirate only if tense/symptomatic</t>
        </is>
      </c>
      <c r="I73" s="12" t="inlineStr">
        <is>
          <t>LOS 3-5 days. Return to work 4-6 weeks. Recurrence 10-15% at 5yr</t>
        </is>
      </c>
    </row>
    <row r="74" ht="34.95" customHeight="1">
      <c r="A74" s="14" t="inlineStr">
        <is>
          <t>Appendectomy</t>
        </is>
      </c>
      <c r="B74" s="14" t="inlineStr">
        <is>
          <t>Open Appendectomy</t>
        </is>
      </c>
      <c r="C74" s="14" t="n">
        <v>1</v>
      </c>
      <c r="D74" s="14" t="inlineStr">
        <is>
          <t>Diagnosis</t>
        </is>
      </c>
      <c r="E74" s="14" t="inlineStr">
        <is>
          <t>CBC, CRP, USG abdomen, CT abdomen if mass palpable; Alvarado score assessment</t>
        </is>
      </c>
      <c r="F74" s="14" t="inlineStr">
        <is>
          <t>Surgeon + Emergency Team</t>
        </is>
      </c>
      <c r="G74" s="14" t="inlineStr">
        <is>
          <t>Emergency</t>
        </is>
      </c>
      <c r="H74" s="14" t="inlineStr">
        <is>
          <t>Alvarado &gt;7 or appendix mass/abscess = surgery; CT to define anatomy</t>
        </is>
      </c>
      <c r="I74" s="14" t="inlineStr">
        <is>
          <t>CT sensitivity 94% for appendicitis; reveals mass/abscess vs acute</t>
        </is>
      </c>
    </row>
    <row r="75" ht="34.95" customHeight="1">
      <c r="A75" s="11" t="inlineStr">
        <is>
          <t>Appendectomy</t>
        </is>
      </c>
      <c r="B75" s="11" t="inlineStr">
        <is>
          <t>Open Appendectomy</t>
        </is>
      </c>
      <c r="C75" s="11" t="n">
        <v>2</v>
      </c>
      <c r="D75" s="11" t="inlineStr">
        <is>
          <t>Open Surgery</t>
        </is>
      </c>
      <c r="E75" s="11" t="inlineStr">
        <is>
          <t>McBurney incision; appendix ligation + removal; drain if abscess; wound irrigation</t>
        </is>
      </c>
      <c r="F75" s="11" t="inlineStr">
        <is>
          <t>Surgeon</t>
        </is>
      </c>
      <c r="G75" s="11" t="inlineStr">
        <is>
          <t>Day 0 (emergency)</t>
        </is>
      </c>
      <c r="H75" s="11" t="inlineStr">
        <is>
          <t>Perforated: extended antibiotics 7-10 days (Ceftriaxone + Metronidazole)</t>
        </is>
      </c>
      <c r="I75" s="11" t="inlineStr">
        <is>
          <t>IV Metronidazole + Ceftriaxone pre-op. Histology mandatory post-op.</t>
        </is>
      </c>
    </row>
    <row r="76" ht="34.95" customHeight="1">
      <c r="A76" s="12" t="inlineStr">
        <is>
          <t>Appendectomy</t>
        </is>
      </c>
      <c r="B76" s="12" t="inlineStr">
        <is>
          <t>Open Appendectomy</t>
        </is>
      </c>
      <c r="C76" s="12" t="n">
        <v>3</v>
      </c>
      <c r="D76" s="12" t="inlineStr">
        <is>
          <t>Post-Op + Discharge</t>
        </is>
      </c>
      <c r="E76" s="12" t="inlineStr">
        <is>
          <t>LOS 3-5 days (uncomplicated), 5-7 days (abscess); wound review Day 7-10; oral antibiotics 5 days</t>
        </is>
      </c>
      <c r="F76" s="12" t="inlineStr">
        <is>
          <t>Surgeon</t>
        </is>
      </c>
      <c r="G76" s="12" t="inlineStr">
        <is>
          <t>Day 5, Week 1</t>
        </is>
      </c>
      <c r="H76" s="12" t="inlineStr">
        <is>
          <t>Wound infection rate higher than lap; culture wound if discharge</t>
        </is>
      </c>
      <c r="I76" s="12" t="inlineStr">
        <is>
          <t>Return to work 2-4 weeks. Histology: rule out carcinoid/tumour.</t>
        </is>
      </c>
    </row>
    <row r="77" ht="34.95" customHeight="1">
      <c r="A77" s="9" t="inlineStr">
        <is>
          <t>Varicose Veins</t>
        </is>
      </c>
      <c r="B77" s="9" t="inlineStr">
        <is>
          <t>Open Surgery - Trendelenburg + Stripping</t>
        </is>
      </c>
      <c r="C77" s="9" t="n">
        <v>1</v>
      </c>
      <c r="D77" s="9" t="inlineStr">
        <is>
          <t>Pre-Op Assessment</t>
        </is>
      </c>
      <c r="E77" s="9" t="inlineStr">
        <is>
          <t>Duplex USG: SFJ competence, GSV diameter, deep vein patency mapping</t>
        </is>
      </c>
      <c r="F77" s="9" t="inlineStr">
        <is>
          <t>Vascular Surgeon + Sonologist</t>
        </is>
      </c>
      <c r="G77" s="9" t="inlineStr">
        <is>
          <t>OPD pre-op</t>
        </is>
      </c>
      <c r="H77" s="9" t="inlineStr">
        <is>
          <t>Deep vein obstruction = contraindication to stripping; do duplex first</t>
        </is>
      </c>
      <c r="I77" s="9" t="inlineStr">
        <is>
          <t>Document CEAP class (C2-C6). CEAP C4-C6 needs urgent referral.</t>
        </is>
      </c>
    </row>
    <row r="78" ht="34.95" customHeight="1">
      <c r="A78" s="10" t="inlineStr">
        <is>
          <t>Varicose Veins</t>
        </is>
      </c>
      <c r="B78" s="10" t="inlineStr">
        <is>
          <t>Open Surgery - Trendelenburg + Stripping</t>
        </is>
      </c>
      <c r="C78" s="10" t="n">
        <v>2</v>
      </c>
      <c r="D78" s="10" t="inlineStr">
        <is>
          <t>Surgery</t>
        </is>
      </c>
      <c r="E78" s="10" t="inlineStr">
        <is>
          <t>GA/Spinal; SFJ ligation (Trendelenburg); GSV stripping from groin to knee; multiple stab avulsions</t>
        </is>
      </c>
      <c r="F78" s="10" t="inlineStr">
        <is>
          <t>Vascular Surgeon</t>
        </is>
      </c>
      <c r="G78" s="10" t="inlineStr">
        <is>
          <t>Day 0</t>
        </is>
      </c>
      <c r="H78" s="10" t="inlineStr">
        <is>
          <t>Stripping above knee only (saphenous nerve below knee = paresthesia risk)</t>
        </is>
      </c>
      <c r="I78" s="10" t="inlineStr">
        <is>
          <t>Compression bandage applied before patient wakes up</t>
        </is>
      </c>
    </row>
    <row r="79" ht="34.95" customHeight="1">
      <c r="A79" s="12" t="inlineStr">
        <is>
          <t>Varicose Veins</t>
        </is>
      </c>
      <c r="B79" s="12" t="inlineStr">
        <is>
          <t>Open Surgery - Trendelenburg + Stripping</t>
        </is>
      </c>
      <c r="C79" s="12" t="n">
        <v>3</v>
      </c>
      <c r="D79" s="12" t="inlineStr">
        <is>
          <t>Post-Op + Discharge</t>
        </is>
      </c>
      <c r="E79" s="12" t="inlineStr">
        <is>
          <t>Class 2 compression stockings; ambulate immediately; discharge Day 1-2; duplex at 4 weeks</t>
        </is>
      </c>
      <c r="F79" s="12" t="inlineStr">
        <is>
          <t>Surgeon</t>
        </is>
      </c>
      <c r="G79" s="12" t="inlineStr">
        <is>
          <t>Day 1-2, 4 weeks</t>
        </is>
      </c>
      <c r="H79" s="12" t="inlineStr">
        <is>
          <t>Saphenous nerve injury: tingling medial leg (7-10%); usually resolves</t>
        </is>
      </c>
      <c r="I79" s="12" t="inlineStr">
        <is>
          <t>Stockings 24/7 for 2 weeks, daytime only 4 weeks. Elevate limb.</t>
        </is>
      </c>
    </row>
    <row r="80" ht="34.95" customHeight="1">
      <c r="A80" s="14" t="inlineStr">
        <is>
          <t>Varicose Veins</t>
        </is>
      </c>
      <c r="B80" s="14" t="inlineStr">
        <is>
          <t>RFA Ablation</t>
        </is>
      </c>
      <c r="C80" s="14" t="n">
        <v>1</v>
      </c>
      <c r="D80" s="14" t="inlineStr">
        <is>
          <t>Duplex USG Mapping</t>
        </is>
      </c>
      <c r="E80" s="14" t="inlineStr">
        <is>
          <t>Map GSV/SSV reflux; SFJ/SPJ competence; deep vein patency; diameter GSV &gt;5mm</t>
        </is>
      </c>
      <c r="F80" s="14" t="inlineStr">
        <is>
          <t>Vascular Surgeon + Radiologist</t>
        </is>
      </c>
      <c r="G80" s="14" t="inlineStr">
        <is>
          <t>OPD pre-op</t>
        </is>
      </c>
      <c r="H80" s="14" t="inlineStr">
        <is>
          <t>GSV &gt;5mm = RFA suitable; deep vein obstruction = contraindication</t>
        </is>
      </c>
      <c r="I80" s="14" t="inlineStr">
        <is>
          <t>Bilateral can be done in same sitting. Day care procedure.</t>
        </is>
      </c>
    </row>
    <row r="81" ht="34.95" customHeight="1">
      <c r="A81" s="11" t="inlineStr">
        <is>
          <t>Varicose Veins</t>
        </is>
      </c>
      <c r="B81" s="11" t="inlineStr">
        <is>
          <t>RFA Ablation</t>
        </is>
      </c>
      <c r="C81" s="11" t="n">
        <v>2</v>
      </c>
      <c r="D81" s="11" t="inlineStr">
        <is>
          <t>RFA Procedure</t>
        </is>
      </c>
      <c r="E81" s="11" t="inlineStr">
        <is>
          <t>Tumescent LA; ClosureFast catheter insertion under duplex; 120°C thermal ablation pullback 7cm/20sec segments</t>
        </is>
      </c>
      <c r="F81" s="11" t="inlineStr">
        <is>
          <t>Vascular Surgeon</t>
        </is>
      </c>
      <c r="G81" s="11" t="inlineStr">
        <is>
          <t>Day 0 (day care)</t>
        </is>
      </c>
      <c r="H81" s="11" t="inlineStr">
        <is>
          <t>CGHS CV002 = 8415; RFA catheter market avg 12000-18000 (key cost)</t>
        </is>
      </c>
      <c r="I81" s="11" t="inlineStr">
        <is>
          <t>No open wounds. Walk immediately post-procedure. Quicker than EVLA.</t>
        </is>
      </c>
    </row>
    <row r="82" ht="34.95" customHeight="1">
      <c r="A82" s="14" t="inlineStr">
        <is>
          <t>Varicose Veins</t>
        </is>
      </c>
      <c r="B82" s="14" t="inlineStr">
        <is>
          <t>RFA Ablation</t>
        </is>
      </c>
      <c r="C82" s="14" t="n">
        <v>3</v>
      </c>
      <c r="D82" s="14" t="inlineStr">
        <is>
          <t>Post-Op + Follow-Up</t>
        </is>
      </c>
      <c r="E82" s="14" t="inlineStr">
        <is>
          <t>Class 2 compression stockings 2 weeks; walk next day; duplex Day 7 (occlusion check)</t>
        </is>
      </c>
      <c r="F82" s="14" t="inlineStr">
        <is>
          <t>Surgeon</t>
        </is>
      </c>
      <c r="G82" s="14" t="inlineStr">
        <is>
          <t>Day 7, 3 months</t>
        </is>
      </c>
      <c r="H82" s="14" t="inlineStr">
        <is>
          <t>DVT incidence &lt;1%; Duplex Day 7 mandatory to confirm occlusion</t>
        </is>
      </c>
      <c r="I82" s="14" t="inlineStr">
        <is>
          <t>Return to normal activity next day. Less bruising vs EVLA.</t>
        </is>
      </c>
    </row>
    <row r="83" ht="34.95" customHeight="1">
      <c r="A83" s="11" t="inlineStr">
        <is>
          <t>Piles Surgery</t>
        </is>
      </c>
      <c r="B83" s="11" t="inlineStr">
        <is>
          <t>Open Haemorrhoidectomy</t>
        </is>
      </c>
      <c r="C83" s="11" t="n">
        <v>1</v>
      </c>
      <c r="D83" s="11" t="inlineStr">
        <is>
          <t>Assessment</t>
        </is>
      </c>
      <c r="E83" s="11" t="inlineStr">
        <is>
          <t>Proctoscopy + sigmoidoscopy; grade 3/4 haemorrhoids; colonoscopy if age &gt;50yr or rectal bleeding</t>
        </is>
      </c>
      <c r="F83" s="11" t="inlineStr">
        <is>
          <t>Colorectal Surgeon</t>
        </is>
      </c>
      <c r="G83" s="11" t="inlineStr">
        <is>
          <t>OPD</t>
        </is>
      </c>
      <c r="H83" s="11" t="inlineStr">
        <is>
          <t>Grade 1-2 = conservative/banding; Grade 3-4 = surgery; rule out malignancy</t>
        </is>
      </c>
      <c r="I83" s="11" t="inlineStr">
        <is>
          <t>DRE and proctoscopy mandatory before any surgical decision</t>
        </is>
      </c>
    </row>
    <row r="84" ht="34.95" customHeight="1">
      <c r="A84" s="14" t="inlineStr">
        <is>
          <t>Piles Surgery</t>
        </is>
      </c>
      <c r="B84" s="14" t="inlineStr">
        <is>
          <t>Open Haemorrhoidectomy</t>
        </is>
      </c>
      <c r="C84" s="14" t="n">
        <v>2</v>
      </c>
      <c r="D84" s="14" t="inlineStr">
        <is>
          <t>Milligan-Morgan Surgery</t>
        </is>
      </c>
      <c r="E84" s="14" t="inlineStr">
        <is>
          <t>SA/GA; lithotomy; excise 3 primary haemorrhoids; leave skin bridges; haemostasis; pack</t>
        </is>
      </c>
      <c r="F84" s="14" t="inlineStr">
        <is>
          <t>Colorectal Surgeon</t>
        </is>
      </c>
      <c r="G84" s="14" t="inlineStr">
        <is>
          <t>Day 0</t>
        </is>
      </c>
      <c r="H84" s="14" t="inlineStr">
        <is>
          <t>Avoid complete mucosal excision (anal stenosis risk); skin bridges mandatory</t>
        </is>
      </c>
      <c r="I84" s="14" t="inlineStr">
        <is>
          <t>High post-op pain: SA preferred + rectal LA. Ice pack post-op.</t>
        </is>
      </c>
    </row>
    <row r="85" ht="34.95" customHeight="1">
      <c r="A85" s="12" t="inlineStr">
        <is>
          <t>Piles Surgery</t>
        </is>
      </c>
      <c r="B85" s="12" t="inlineStr">
        <is>
          <t>Open Haemorrhoidectomy</t>
        </is>
      </c>
      <c r="C85" s="12" t="n">
        <v>3</v>
      </c>
      <c r="D85" s="12" t="inlineStr">
        <is>
          <t>Post-Op + Discharge</t>
        </is>
      </c>
      <c r="E85" s="12" t="inlineStr">
        <is>
          <t>Sitz baths 3x/day; laxatives (lactulose mandatory); topical nifedipine/lignocaine; discharge Day 1-2</t>
        </is>
      </c>
      <c r="F85" s="12" t="inlineStr">
        <is>
          <t>Surgeon</t>
        </is>
      </c>
      <c r="G85" s="12" t="inlineStr">
        <is>
          <t>Day 2, 2 weeks, 6 weeks</t>
        </is>
      </c>
      <c r="H85" s="12" t="inlineStr">
        <is>
          <t>Recurrence &lt;1% (best rates); anal stenosis if skin bridges not preserved</t>
        </is>
      </c>
      <c r="I85" s="12" t="inlineStr">
        <is>
          <t>Return to work 2-4 weeks. Pain peaks Day 2-3. Stool softeners 4-6 weeks.</t>
        </is>
      </c>
    </row>
    <row r="86" ht="34.95" customHeight="1">
      <c r="A86" s="14" t="inlineStr">
        <is>
          <t>Piles Surgery</t>
        </is>
      </c>
      <c r="B86" s="14" t="inlineStr">
        <is>
          <t>Laser Haemorrhoidoplasty</t>
        </is>
      </c>
      <c r="C86" s="14" t="n">
        <v>1</v>
      </c>
      <c r="D86" s="14" t="inlineStr">
        <is>
          <t>Assessment</t>
        </is>
      </c>
      <c r="E86" s="14" t="inlineStr">
        <is>
          <t>Proctoscopy; Grade 2-3 haemorrhoids; rule out malignancy if &gt;50yr; patient preference for minimal pain</t>
        </is>
      </c>
      <c r="F86" s="14" t="inlineStr">
        <is>
          <t>Colorectal Surgeon</t>
        </is>
      </c>
      <c r="G86" s="14" t="inlineStr">
        <is>
          <t>OPD</t>
        </is>
      </c>
      <c r="H86" s="14" t="inlineStr">
        <is>
          <t>Grade 2-3 ideal; Grade 4 prolapsed = PPH or open preferred</t>
        </is>
      </c>
      <c r="I86" s="14" t="inlineStr">
        <is>
          <t>Day care or OPD procedure. Laser probe cost 7000-9000 (main tech expense).</t>
        </is>
      </c>
    </row>
    <row r="87" ht="34.95" customHeight="1">
      <c r="A87" s="11" t="inlineStr">
        <is>
          <t>Piles Surgery</t>
        </is>
      </c>
      <c r="B87" s="11" t="inlineStr">
        <is>
          <t>Laser Haemorrhoidoplasty</t>
        </is>
      </c>
      <c r="C87" s="11" t="n">
        <v>2</v>
      </c>
      <c r="D87" s="11" t="inlineStr">
        <is>
          <t>Laser Procedure</t>
        </is>
      </c>
      <c r="E87" s="11" t="inlineStr">
        <is>
          <t>SA/LA; laser diode 980nm/1470nm; submucosal ablation/coagulation; minimal excision; no sutures</t>
        </is>
      </c>
      <c r="F87" s="11" t="inlineStr">
        <is>
          <t>Colorectal Surgeon</t>
        </is>
      </c>
      <c r="G87" s="11" t="inlineStr">
        <is>
          <t>Day 0 (day care)</t>
        </is>
      </c>
      <c r="H87" s="11" t="inlineStr">
        <is>
          <t>No thermal damage to surrounding tissue; sphincter safe</t>
        </is>
      </c>
      <c r="I87" s="11" t="inlineStr">
        <is>
          <t>Meds: topical nifedipine + lignocaine post-op. Sitz baths 3x/day.</t>
        </is>
      </c>
    </row>
    <row r="88" ht="34.95" customHeight="1">
      <c r="A88" s="12" t="inlineStr">
        <is>
          <t>Piles Surgery</t>
        </is>
      </c>
      <c r="B88" s="12" t="inlineStr">
        <is>
          <t>Laser Haemorrhoidoplasty</t>
        </is>
      </c>
      <c r="C88" s="12" t="n">
        <v>3</v>
      </c>
      <c r="D88" s="12" t="inlineStr">
        <is>
          <t>Post-Op + Discharge</t>
        </is>
      </c>
      <c r="E88" s="12" t="inlineStr">
        <is>
          <t>Discharge same day; stool softeners; sitz baths; review 2 weeks; recurrence ~15% at 1 year</t>
        </is>
      </c>
      <c r="F88" s="12" t="inlineStr">
        <is>
          <t>Surgeon</t>
        </is>
      </c>
      <c r="G88" s="12" t="inlineStr">
        <is>
          <t>Same day, 2 weeks, 3 months</t>
        </is>
      </c>
      <c r="H88" s="12" t="inlineStr">
        <is>
          <t>Higher recurrence than open (15% vs &lt;1%); repeat laser possible</t>
        </is>
      </c>
      <c r="I88" s="12" t="inlineStr">
        <is>
          <t>Return to work next day. Minimal pain. High patient satisfaction.</t>
        </is>
      </c>
    </row>
    <row r="89" ht="34.95" customHeight="1">
      <c r="A89" s="9" t="inlineStr">
        <is>
          <t>CABG - Bypass Surgery</t>
        </is>
      </c>
      <c r="B89" s="9" t="inlineStr">
        <is>
          <t>Off-Pump CABG (OPCAB)</t>
        </is>
      </c>
      <c r="C89" s="9" t="n">
        <v>1</v>
      </c>
      <c r="D89" s="9" t="inlineStr">
        <is>
          <t>Pre-Op Assessment</t>
        </is>
      </c>
      <c r="E89" s="9" t="inlineStr">
        <is>
          <t>Coronary angiography; ECHO EF%, wall motion; CBC, Coag, KFT; Carotid Duplex</t>
        </is>
      </c>
      <c r="F89" s="9" t="inlineStr">
        <is>
          <t>CT Surgeon + Cardiologist</t>
        </is>
      </c>
      <c r="G89" s="9" t="inlineStr">
        <is>
          <t>1-2 weeks pre-op</t>
        </is>
      </c>
      <c r="H89" s="9" t="inlineStr">
        <is>
          <t>OPCAB preferred: elderly &gt;70yr, CKD, neurological risk, prior sternotomy</t>
        </is>
      </c>
      <c r="I89" s="9" t="inlineStr">
        <is>
          <t>Avoid CPB to reduce renal/cognitive/inflammatory complications</t>
        </is>
      </c>
    </row>
    <row r="90" ht="34.95" customHeight="1">
      <c r="A90" s="14" t="inlineStr">
        <is>
          <t>CABG - Bypass Surgery</t>
        </is>
      </c>
      <c r="B90" s="14" t="inlineStr">
        <is>
          <t>Off-Pump CABG (OPCAB)</t>
        </is>
      </c>
      <c r="C90" s="14" t="n">
        <v>2</v>
      </c>
      <c r="D90" s="14" t="inlineStr">
        <is>
          <t>OPCAB Surgery</t>
        </is>
      </c>
      <c r="E90" s="14" t="inlineStr">
        <is>
          <t>Median sternotomy; beating heart stabiliser (Octopus/Medtronic device); LIMA-LAD + SVG grafts on beating heart</t>
        </is>
      </c>
      <c r="F90" s="14" t="inlineStr">
        <is>
          <t>CT Surgeon</t>
        </is>
      </c>
      <c r="G90" s="14" t="inlineStr">
        <is>
          <t>Day 0</t>
        </is>
      </c>
      <c r="H90" s="14" t="inlineStr">
        <is>
          <t>CGHS CV016 = 201780; stabiliser device cost 12000-18000 extra</t>
        </is>
      </c>
      <c r="I90" s="14" t="inlineStr">
        <is>
          <t>No heparinisation for CPB; reduced blood transfusion requirement</t>
        </is>
      </c>
    </row>
    <row r="91" ht="34.95" customHeight="1">
      <c r="A91" s="15" t="inlineStr">
        <is>
          <t>CABG - Bypass Surgery</t>
        </is>
      </c>
      <c r="B91" s="15" t="inlineStr">
        <is>
          <t>Off-Pump CABG (OPCAB)</t>
        </is>
      </c>
      <c r="C91" s="15" t="n">
        <v>3</v>
      </c>
      <c r="D91" s="15" t="inlineStr">
        <is>
          <t>ICU + Ward</t>
        </is>
      </c>
      <c r="E91" s="15" t="inlineStr">
        <is>
          <t>Vent 4-8h; extubate early; reduced inotrope requirement vs On-pump; ICU 1-2 days</t>
        </is>
      </c>
      <c r="F91" s="15" t="inlineStr">
        <is>
          <t>CT Surgeon + ICU Team</t>
        </is>
      </c>
      <c r="G91" s="15" t="inlineStr">
        <is>
          <t>Day 0-2</t>
        </is>
      </c>
      <c r="H91" s="15" t="inlineStr">
        <is>
          <t>Graft patency check: if new ST change = urgent angiography</t>
        </is>
      </c>
      <c r="I91" s="15" t="inlineStr">
        <is>
          <t>Less cognitive dysfunction vs on-pump. Faster recovery.</t>
        </is>
      </c>
    </row>
    <row r="92" ht="34.95" customHeight="1">
      <c r="A92" s="12" t="inlineStr">
        <is>
          <t>CABG - Bypass Surgery</t>
        </is>
      </c>
      <c r="B92" s="12" t="inlineStr">
        <is>
          <t>Off-Pump CABG (OPCAB)</t>
        </is>
      </c>
      <c r="C92" s="12" t="n">
        <v>4</v>
      </c>
      <c r="D92" s="12" t="inlineStr">
        <is>
          <t>Discharge + Follow-Up</t>
        </is>
      </c>
      <c r="E92" s="12" t="inlineStr">
        <is>
          <t>Discharge Day 7-9; sternal precautions 6 weeks; cardiac rehab; DAPT + statin</t>
        </is>
      </c>
      <c r="F92" s="12" t="inlineStr">
        <is>
          <t>Cardiologist + Surgeon</t>
        </is>
      </c>
      <c r="G92" s="12" t="inlineStr">
        <is>
          <t>Day 8, 6 weeks, 3 months, 1 year</t>
        </is>
      </c>
      <c r="H92" s="12" t="inlineStr">
        <is>
          <t>Graft patency: LIMA to LAD 10yr &gt;90%; SVG 50% at 10yr</t>
        </is>
      </c>
      <c r="I92" s="12" t="inlineStr">
        <is>
          <t>Secondary prevention lifelong. No driving 6 weeks.</t>
        </is>
      </c>
    </row>
    <row r="93" ht="34.95" customHeight="1">
      <c r="A93" s="11" t="inlineStr">
        <is>
          <t>CABG - Bypass Surgery</t>
        </is>
      </c>
      <c r="B93" s="11" t="inlineStr">
        <is>
          <t>Robotic-Assisted CABG</t>
        </is>
      </c>
      <c r="C93" s="11" t="n">
        <v>1</v>
      </c>
      <c r="D93" s="11" t="inlineStr">
        <is>
          <t>Pre-Op + Patient Selection</t>
        </is>
      </c>
      <c r="E93" s="11" t="inlineStr">
        <is>
          <t>Coronary angiography; single/double vessel disease; no prior sternotomy; EF &gt;35%</t>
        </is>
      </c>
      <c r="F93" s="11" t="inlineStr">
        <is>
          <t>CT Surgeon + Cardiologist</t>
        </is>
      </c>
      <c r="G93" s="11" t="inlineStr">
        <is>
          <t>1-2 weeks pre-op</t>
        </is>
      </c>
      <c r="H93" s="11" t="inlineStr">
        <is>
          <t>TECAB: single vessel only typically; MICS CABG: 2-3 vessel via small thoracotomy</t>
        </is>
      </c>
      <c r="I93" s="11" t="inlineStr">
        <is>
          <t>Specialist centre mandatory. Robotic premium ~150000 INR (CGHS standard).</t>
        </is>
      </c>
    </row>
    <row r="94" ht="34.95" customHeight="1">
      <c r="A94" s="14" t="inlineStr">
        <is>
          <t>CABG - Bypass Surgery</t>
        </is>
      </c>
      <c r="B94" s="14" t="inlineStr">
        <is>
          <t>Robotic-Assisted CABG</t>
        </is>
      </c>
      <c r="C94" s="14" t="n">
        <v>2</v>
      </c>
      <c r="D94" s="14" t="inlineStr">
        <is>
          <t>Robotic Surgery (TECAB)</t>
        </is>
      </c>
      <c r="E94" s="14" t="inlineStr">
        <is>
          <t>Robotic ports 3-4 small incisions; da Vinci LIMA harvesting; endoscopic anastomosis on CPB or beating heart</t>
        </is>
      </c>
      <c r="F94" s="14" t="inlineStr">
        <is>
          <t>CT Surgeon (Robotic trained)</t>
        </is>
      </c>
      <c r="G94" s="14" t="inlineStr">
        <is>
          <t>Day 0</t>
        </is>
      </c>
      <c r="H94" s="14" t="inlineStr">
        <is>
          <t>CGHS CV016 = 201780 base + 150000 robotic premium; specialist centre only</t>
        </is>
      </c>
      <c r="I94" s="14" t="inlineStr">
        <is>
          <t>Significantly less post-op pain. Fastest sternal recovery (no sternotomy).</t>
        </is>
      </c>
    </row>
    <row r="95" ht="34.95" customHeight="1">
      <c r="A95" s="11" t="inlineStr">
        <is>
          <t>CABG - Bypass Surgery</t>
        </is>
      </c>
      <c r="B95" s="11" t="inlineStr">
        <is>
          <t>Robotic-Assisted CABG</t>
        </is>
      </c>
      <c r="C95" s="11" t="n">
        <v>3</v>
      </c>
      <c r="D95" s="11" t="inlineStr">
        <is>
          <t>ICU + Discharge</t>
        </is>
      </c>
      <c r="E95" s="11" t="inlineStr">
        <is>
          <t>ICU 1-2 days; vent 4-6h; discharge Day 5-6; cardiac rehab; return to work 2-3 weeks</t>
        </is>
      </c>
      <c r="F95" s="11" t="inlineStr">
        <is>
          <t>CT Surgeon + ICU Team</t>
        </is>
      </c>
      <c r="G95" s="11" t="inlineStr">
        <is>
          <t>Day 5-6</t>
        </is>
      </c>
      <c r="H95" s="11" t="inlineStr">
        <is>
          <t>Complication: conversion to open if haemorrhage = sternotomy</t>
        </is>
      </c>
      <c r="I95" s="11" t="inlineStr">
        <is>
          <t>Patient satisfaction highest. Cosmesis excellent. Limited to selected centres.</t>
        </is>
      </c>
    </row>
    <row r="96" ht="34.95" customHeight="1">
      <c r="A96" s="14" t="inlineStr">
        <is>
          <t>Chemotherapy</t>
        </is>
      </c>
      <c r="B96" s="14" t="inlineStr">
        <is>
          <t>Multi-Drug Chemotherapy</t>
        </is>
      </c>
      <c r="C96" s="14" t="n">
        <v>1</v>
      </c>
      <c r="D96" s="14" t="inlineStr">
        <is>
          <t>Oncology Assessment</t>
        </is>
      </c>
      <c r="E96" s="14" t="inlineStr">
        <is>
          <t>HPE + receptor status (ER/PR/HER2 for breast; MSI/KRAS for colon); staging CT/PET; KFT/LFT/CBC/ECHO</t>
        </is>
      </c>
      <c r="F96" s="14" t="inlineStr">
        <is>
          <t>Medical Oncologist</t>
        </is>
      </c>
      <c r="G96" s="14" t="inlineStr">
        <is>
          <t>Before Cycle 1</t>
        </is>
      </c>
      <c r="H96" s="14" t="inlineStr">
        <is>
          <t>Protocol selection: AC-T, FOLFOX, FOLFIRINOX, R-CHOP per tumour type</t>
        </is>
      </c>
      <c r="I96" s="14" t="inlineStr">
        <is>
          <t>Chemoport/PICC line insertion before first cycle for multi-cycle plans</t>
        </is>
      </c>
    </row>
    <row r="97" ht="34.95" customHeight="1">
      <c r="A97" s="11" t="inlineStr">
        <is>
          <t>Chemotherapy</t>
        </is>
      </c>
      <c r="B97" s="11" t="inlineStr">
        <is>
          <t>Multi-Drug Chemotherapy</t>
        </is>
      </c>
      <c r="C97" s="11" t="n">
        <v>2</v>
      </c>
      <c r="D97" s="11" t="inlineStr">
        <is>
          <t>Pre-Cycle Check</t>
        </is>
      </c>
      <c r="E97" s="11" t="inlineStr">
        <is>
          <t>CBC (ANC &gt;1500, PLT &gt;100K, Hb &gt;8); KFT; LFT; antiemetics + GCSF protocol review</t>
        </is>
      </c>
      <c r="F97" s="11" t="inlineStr">
        <is>
          <t>Oncologist + Chemo Nurse</t>
        </is>
      </c>
      <c r="G97" s="11" t="inlineStr">
        <is>
          <t>Day 1 each cycle</t>
        </is>
      </c>
      <c r="H97" s="11" t="inlineStr">
        <is>
          <t>Dose reduce 25% if ANC nadir 1000-1500; delay cycle if ANC &lt;1000</t>
        </is>
      </c>
      <c r="I97" s="11" t="inlineStr">
        <is>
          <t>Triple antiemetic: palonosetron + dexamethasone + aprepitant for highly emetogenic chemo</t>
        </is>
      </c>
    </row>
    <row r="98" ht="34.95" customHeight="1">
      <c r="A98" s="14" t="inlineStr">
        <is>
          <t>Chemotherapy</t>
        </is>
      </c>
      <c r="B98" s="14" t="inlineStr">
        <is>
          <t>Multi-Drug Chemotherapy</t>
        </is>
      </c>
      <c r="C98" s="14" t="n">
        <v>3</v>
      </c>
      <c r="D98" s="14" t="inlineStr">
        <is>
          <t>Administration</t>
        </is>
      </c>
      <c r="E98" s="14" t="inlineStr">
        <is>
          <t>Sequential drug infusion per protocol timeline; anaphylaxis trolley + resuscitation equipment standby</t>
        </is>
      </c>
      <c r="F98" s="14" t="inlineStr">
        <is>
          <t>Chemo Nurse + Pharmacist</t>
        </is>
      </c>
      <c r="G98" s="14" t="inlineStr">
        <is>
          <t>Day 0 (day care or 1-2 day admit)</t>
        </is>
      </c>
      <c r="H98" s="14" t="inlineStr">
        <is>
          <t>High-dose Methotrexate: requires leucovorin rescue + aggressive hydration (1-2 day admit)</t>
        </is>
      </c>
      <c r="I98" s="14" t="inlineStr">
        <is>
          <t>GCSF (G-CSF) Day 2-10 if febrile neutropenia risk &gt;20%</t>
        </is>
      </c>
    </row>
    <row r="99" ht="34.95" customHeight="1">
      <c r="A99" s="11" t="inlineStr">
        <is>
          <t>Chemotherapy</t>
        </is>
      </c>
      <c r="B99" s="11" t="inlineStr">
        <is>
          <t>Multi-Drug Chemotherapy</t>
        </is>
      </c>
      <c r="C99" s="11" t="n">
        <v>4</v>
      </c>
      <c r="D99" s="11" t="inlineStr">
        <is>
          <t>Toxicity Monitoring</t>
        </is>
      </c>
      <c r="E99" s="11" t="inlineStr">
        <is>
          <t>CBC nadir Day 7-14; ECHO q3 cycles (anthracyclines); neuropathy assessment; mucositis grading</t>
        </is>
      </c>
      <c r="F99" s="11" t="inlineStr">
        <is>
          <t>Oncologist</t>
        </is>
      </c>
      <c r="G99" s="11" t="inlineStr">
        <is>
          <t>Weekly CBC, q3 cycles ECHO</t>
        </is>
      </c>
      <c r="H99" s="11" t="inlineStr">
        <is>
          <t>Cumulative anthracycline dose limit: doxorubicin &lt;450 mg/m² (cardiotoxicity)</t>
        </is>
      </c>
      <c r="I99" s="11" t="inlineStr">
        <is>
          <t>Mucositis: chlorhexidine + antifungal mouthwash. Peripheral neuropathy: dose modification.</t>
        </is>
      </c>
    </row>
    <row r="100" ht="34.95" customHeight="1">
      <c r="A100" s="14" t="inlineStr">
        <is>
          <t>Chemotherapy</t>
        </is>
      </c>
      <c r="B100" s="14" t="inlineStr">
        <is>
          <t>Targeted Therapy Oral</t>
        </is>
      </c>
      <c r="C100" s="14" t="n">
        <v>1</v>
      </c>
      <c r="D100" s="14" t="inlineStr">
        <is>
          <t>Biomarker Testing + Selection</t>
        </is>
      </c>
      <c r="E100" s="14" t="inlineStr">
        <is>
          <t>Molecular testing: EGFR/ALK/KRAS/BRAF (lung); BCR-ABL (CML); HER2 (breast); MSI-H (colorectal)</t>
        </is>
      </c>
      <c r="F100" s="14" t="inlineStr">
        <is>
          <t>Molecular Oncologist + Medical Oncologist</t>
        </is>
      </c>
      <c r="G100" s="14" t="inlineStr">
        <is>
          <t>Before treatment start</t>
        </is>
      </c>
      <c r="H100" s="14" t="inlineStr">
        <is>
          <t>Targeted therapy only if specific biomarker positive; no biomarker = chemotherapy</t>
        </is>
      </c>
      <c r="I100" s="14" t="inlineStr">
        <is>
          <t>NGS (Next Gen Sequencing) panel 30000-80000 INR; CGHS partially covered</t>
        </is>
      </c>
    </row>
    <row r="101" ht="34.95" customHeight="1">
      <c r="A101" s="11" t="inlineStr">
        <is>
          <t>Chemotherapy</t>
        </is>
      </c>
      <c r="B101" s="11" t="inlineStr">
        <is>
          <t>Targeted Therapy Oral</t>
        </is>
      </c>
      <c r="C101" s="11" t="n">
        <v>2</v>
      </c>
      <c r="D101" s="11" t="inlineStr">
        <is>
          <t>Dispensing + Initiation</t>
        </is>
      </c>
      <c r="E101" s="11" t="inlineStr">
        <is>
          <t>Daily oral agent (Imatinib/Erlotinib/Lapatinib/Ibrutinib); patient counselling on side effects; drug interactions</t>
        </is>
      </c>
      <c r="F101" s="11" t="inlineStr">
        <is>
          <t>Medical Oncologist + Clinical Pharmacist</t>
        </is>
      </c>
      <c r="G101" s="11" t="inlineStr">
        <is>
          <t>Day 1, ongoing monthly</t>
        </is>
      </c>
      <c r="H101" s="11" t="inlineStr">
        <is>
          <t>Drug cost varies: Imatinib generic 3000-5000/mo; Ibrutinib 80000-150000/mo</t>
        </is>
      </c>
      <c r="I101" s="11" t="inlineStr">
        <is>
          <t>Monitor: LFTs monthly, CBC monthly, drug-specific toxicity profile per molecule</t>
        </is>
      </c>
    </row>
    <row r="102" ht="34.95" customHeight="1">
      <c r="A102" s="14" t="inlineStr">
        <is>
          <t>Chemotherapy</t>
        </is>
      </c>
      <c r="B102" s="14" t="inlineStr">
        <is>
          <t>Targeted Therapy Oral</t>
        </is>
      </c>
      <c r="C102" s="14" t="n">
        <v>3</v>
      </c>
      <c r="D102" s="14" t="inlineStr">
        <is>
          <t>Response Assessment + Monitoring</t>
        </is>
      </c>
      <c r="E102" s="14" t="inlineStr">
        <is>
          <t>CT/PET at 3 months; molecular response (PCR for BCR-ABL); dose modification per toxicity grade</t>
        </is>
      </c>
      <c r="F102" s="14" t="inlineStr">
        <is>
          <t>Oncologist</t>
        </is>
      </c>
      <c r="G102" s="14" t="inlineStr">
        <is>
          <t>3 months, 6 months, yearly</t>
        </is>
      </c>
      <c r="H102" s="14" t="inlineStr">
        <is>
          <t>Resistance: mutation testing (T315I BCR-ABL = switch to Ponatinib)</t>
        </is>
      </c>
      <c r="I102" s="14" t="inlineStr">
        <is>
          <t>Lifelong therapy for CML on TKI if in remission. Duration varies by tumour type.</t>
        </is>
      </c>
    </row>
    <row r="103" ht="34.95" customHeight="1">
      <c r="A103" s="11" t="inlineStr">
        <is>
          <t>Radiation Therapy</t>
        </is>
      </c>
      <c r="B103" s="11" t="inlineStr">
        <is>
          <t>3D-CRT (Level 3)</t>
        </is>
      </c>
      <c r="C103" s="11" t="n">
        <v>1</v>
      </c>
      <c r="D103" s="11" t="inlineStr">
        <is>
          <t>Simulation + Planning</t>
        </is>
      </c>
      <c r="E103" s="11" t="inlineStr">
        <is>
          <t>CT simulation with immobilisation device; GTV/CTV/PTV delineation; 3D dose calculation; DVH review</t>
        </is>
      </c>
      <c r="F103" s="11" t="inlineStr">
        <is>
          <t>Radiation Oncologist + Medical Physicist</t>
        </is>
      </c>
      <c r="G103" s="11" t="inlineStr">
        <is>
          <t>1-2 weeks pre-treatment</t>
        </is>
      </c>
      <c r="H103" s="11" t="inlineStr">
        <is>
          <t>CGHS RT008 Level 3 3D-CRT = 45000 for full course; OPD-based daily</t>
        </is>
      </c>
      <c r="I103" s="11" t="inlineStr">
        <is>
          <t>Immobilisation mask for H&amp;N; vacuum bag for pelvis. Tattoo skin marks.</t>
        </is>
      </c>
    </row>
    <row r="104" ht="34.95" customHeight="1">
      <c r="A104" s="14" t="inlineStr">
        <is>
          <t>Radiation Therapy</t>
        </is>
      </c>
      <c r="B104" s="14" t="inlineStr">
        <is>
          <t>3D-CRT (Level 3)</t>
        </is>
      </c>
      <c r="C104" s="14" t="n">
        <v>2</v>
      </c>
      <c r="D104" s="14" t="inlineStr">
        <is>
          <t>Treatment Delivery</t>
        </is>
      </c>
      <c r="E104" s="14" t="inlineStr">
        <is>
          <t>Daily fraction Monday-Friday; 3D conformal beams; total dose 50-70 Gy in 25-35 fractions</t>
        </is>
      </c>
      <c r="F104" s="14" t="inlineStr">
        <is>
          <t>Radiation Therapist + Physicist</t>
        </is>
      </c>
      <c r="G104" s="14" t="inlineStr">
        <is>
          <t>Daily x 25-35 sessions (5-7 weeks)</t>
        </is>
      </c>
      <c r="H104" s="14" t="inlineStr">
        <is>
          <t>Standard fractionation: 2 Gy/day; palliative: 30 Gy/10 fractions</t>
        </is>
      </c>
      <c r="I104" s="14" t="inlineStr">
        <is>
          <t>Weekly portal imaging for setup verification. Skin care with aloe vera.</t>
        </is>
      </c>
    </row>
    <row r="105" ht="34.95" customHeight="1">
      <c r="A105" s="11" t="inlineStr">
        <is>
          <t>Radiation Therapy</t>
        </is>
      </c>
      <c r="B105" s="11" t="inlineStr">
        <is>
          <t>3D-CRT (Level 3)</t>
        </is>
      </c>
      <c r="C105" s="11" t="n">
        <v>3</v>
      </c>
      <c r="D105" s="11" t="inlineStr">
        <is>
          <t>On-Treatment Review + Follow-Up</t>
        </is>
      </c>
      <c r="E105" s="11" t="inlineStr">
        <is>
          <t>Weekly OPD review: CBC, skin toxicity grading, mucositis; CT response at 4-6 weeks post-RT</t>
        </is>
      </c>
      <c r="F105" s="11" t="inlineStr">
        <is>
          <t>Radiation Oncologist</t>
        </is>
      </c>
      <c r="G105" s="11" t="inlineStr">
        <is>
          <t>Weekly during RT, 6 weeks post-RT, 3m, 6m, 1yr</t>
        </is>
      </c>
      <c r="H105" s="11" t="inlineStr">
        <is>
          <t>Acute toxicity: skin burn (G1-G4), mucositis, fatigue, diarrhoea depending on site</t>
        </is>
      </c>
      <c r="I105" s="11" t="inlineStr">
        <is>
          <t>Aloe vera for skin. No soap on tattooed area during treatment. High protein diet.</t>
        </is>
      </c>
    </row>
    <row r="106" ht="34.95" customHeight="1">
      <c r="A106" s="14" t="inlineStr">
        <is>
          <t>Radiation Therapy</t>
        </is>
      </c>
      <c r="B106" s="14" t="inlineStr">
        <is>
          <t>SBRT/SRS (Level 6)</t>
        </is>
      </c>
      <c r="C106" s="14" t="n">
        <v>1</v>
      </c>
      <c r="D106" s="14" t="inlineStr">
        <is>
          <t>Pre-Treatment Planning</t>
        </is>
      </c>
      <c r="E106" s="14" t="inlineStr">
        <is>
          <t>CT + MRI fusion; fiducial marker insertion (liver/lung); 4D CT for motion management; SABR protocol</t>
        </is>
      </c>
      <c r="F106" s="14" t="inlineStr">
        <is>
          <t>Radiation Oncologist + Physicist</t>
        </is>
      </c>
      <c r="G106" s="14" t="inlineStr">
        <is>
          <t>1-2 weeks pre-treatment</t>
        </is>
      </c>
      <c r="H106" s="14" t="inlineStr">
        <is>
          <t>CGHS RT011 Level 6 SBRT = 162000 for 3-5 fractions; very high dose per fraction</t>
        </is>
      </c>
      <c r="I106" s="14" t="inlineStr">
        <is>
          <t>SRS: single fraction for brain mets/AVM. SBRT: 3-5 fractions for lung/liver/prostate/spine.</t>
        </is>
      </c>
    </row>
    <row r="107" ht="34.95" customHeight="1">
      <c r="A107" s="11" t="inlineStr">
        <is>
          <t>Radiation Therapy</t>
        </is>
      </c>
      <c r="B107" s="11" t="inlineStr">
        <is>
          <t>SBRT/SRS (Level 6)</t>
        </is>
      </c>
      <c r="C107" s="11" t="n">
        <v>2</v>
      </c>
      <c r="D107" s="11" t="inlineStr">
        <is>
          <t>Treatment Delivery</t>
        </is>
      </c>
      <c r="E107" s="11" t="inlineStr">
        <is>
          <t>3-5 fractions (Mon/Wed/Fri); IGRT with CBCT each session; robotic couch corrections; 10-15 Gy/fraction</t>
        </is>
      </c>
      <c r="F107" s="11" t="inlineStr">
        <is>
          <t>Radiation Therapist + Physicist</t>
        </is>
      </c>
      <c r="G107" s="11" t="inlineStr">
        <is>
          <t>3-5 sessions (1-2 weeks)</t>
        </is>
      </c>
      <c r="H107" s="11" t="inlineStr">
        <is>
          <t>VMAT/RapidArc delivery; sub-mm accuracy mandatory; complex QA pre-treatment</t>
        </is>
      </c>
      <c r="I107" s="11" t="inlineStr">
        <is>
          <t>Total treatment time 30-60 min per session (complex setup + delivery).</t>
        </is>
      </c>
    </row>
    <row r="108" ht="34.95" customHeight="1">
      <c r="A108" s="14" t="inlineStr">
        <is>
          <t>Radiation Therapy</t>
        </is>
      </c>
      <c r="B108" s="14" t="inlineStr">
        <is>
          <t>SBRT/SRS (Level 6)</t>
        </is>
      </c>
      <c r="C108" s="14" t="n">
        <v>3</v>
      </c>
      <c r="D108" s="14" t="inlineStr">
        <is>
          <t>Follow-Up + Response</t>
        </is>
      </c>
      <c r="E108" s="14" t="inlineStr">
        <is>
          <t>MRI brain at 3 months (SRS); CT/PET at 3 months (SBRT); acute toxicity low due to precision</t>
        </is>
      </c>
      <c r="F108" s="14" t="inlineStr">
        <is>
          <t>Radiation Oncologist</t>
        </is>
      </c>
      <c r="G108" s="14" t="inlineStr">
        <is>
          <t>3 months, 6 months, 1 year</t>
        </is>
      </c>
      <c r="H108" s="14" t="inlineStr">
        <is>
          <t>Radiation necrosis (brain): 2-4%; treated with Bevacizumab if symptomatic</t>
        </is>
      </c>
      <c r="I108" s="14" t="inlineStr">
        <is>
          <t>Late effects: fibrosis (lung), GI toxicity (liver/spine SBRT). Long-term follow-up.</t>
        </is>
      </c>
    </row>
    <row r="109" ht="34.95" customHeight="1">
      <c r="A109" s="11" t="inlineStr">
        <is>
          <t>Dialysis per Session</t>
        </is>
      </c>
      <c r="B109" s="11" t="inlineStr">
        <is>
          <t>Haemodialysis - Sero Positive</t>
        </is>
      </c>
      <c r="C109" s="11" t="n">
        <v>1</v>
      </c>
      <c r="D109" s="11" t="inlineStr">
        <is>
          <t>Isolation Protocol Setup</t>
        </is>
      </c>
      <c r="E109" s="11" t="inlineStr">
        <is>
          <t>Dedicated isolated HD machine; full PPE for staff; separate bay or room; HBsAg/HCV/HIV confirmation</t>
        </is>
      </c>
      <c r="F109" s="11" t="inlineStr">
        <is>
          <t>Nephrologist + Infection Control</t>
        </is>
      </c>
      <c r="G109" s="11" t="inlineStr">
        <is>
          <t>Before first session</t>
        </is>
      </c>
      <c r="H109" s="11" t="inlineStr">
        <is>
          <t>CGHS NU123 HD Sero-Positive = 2700/session; no sharing machine with sero-negative patients</t>
        </is>
      </c>
      <c r="I109" s="11" t="inlineStr">
        <is>
          <t>HBV vaccination for sero-negative HD patients mandatory (KDIGO guideline)</t>
        </is>
      </c>
    </row>
    <row r="110" ht="34.95" customHeight="1">
      <c r="A110" s="14" t="inlineStr">
        <is>
          <t>Dialysis per Session</t>
        </is>
      </c>
      <c r="B110" s="14" t="inlineStr">
        <is>
          <t>Haemodialysis - Sero Positive</t>
        </is>
      </c>
      <c r="C110" s="14" t="n">
        <v>2</v>
      </c>
      <c r="D110" s="14" t="inlineStr">
        <is>
          <t>HD Session</t>
        </is>
      </c>
      <c r="E110" s="14" t="inlineStr">
        <is>
          <t>4h session; same machine each visit (dedicated); blood flow 250-300ml/min; UFH anticoagulation</t>
        </is>
      </c>
      <c r="F110" s="14" t="inlineStr">
        <is>
          <t>Dialysis Nurse (PPE) + Nephrologist</t>
        </is>
      </c>
      <c r="G110" s="14" t="inlineStr">
        <is>
          <t>3x weekly</t>
        </is>
      </c>
      <c r="H110" s="14" t="inlineStr">
        <is>
          <t>Dialyser can be reused (same patient only) after high-level disinfection</t>
        </is>
      </c>
      <c r="I110" s="14" t="inlineStr">
        <is>
          <t>Monitor: BP, HR q30 min. Strict hand hygiene. Needle stick protocol available.</t>
        </is>
      </c>
    </row>
    <row r="111" ht="34.95" customHeight="1">
      <c r="A111" s="11" t="inlineStr">
        <is>
          <t>Dialysis per Session</t>
        </is>
      </c>
      <c r="B111" s="11" t="inlineStr">
        <is>
          <t>Haemodialysis - Sero Positive</t>
        </is>
      </c>
      <c r="C111" s="11" t="n">
        <v>3</v>
      </c>
      <c r="D111" s="11" t="inlineStr">
        <is>
          <t>Monitoring</t>
        </is>
      </c>
      <c r="E111" s="11" t="inlineStr">
        <is>
          <t>Monthly: CBC, KFT, LFT, viral load (HBV DNA/HCV RNA/HIV viral load); antiviral therapy if active</t>
        </is>
      </c>
      <c r="F111" s="11" t="inlineStr">
        <is>
          <t>Nephrologist + Infectious Disease Specialist</t>
        </is>
      </c>
      <c r="G111" s="11" t="inlineStr">
        <is>
          <t>Monthly labs, 3-monthly viral load</t>
        </is>
      </c>
      <c r="H111" s="11" t="inlineStr">
        <is>
          <t>HBV DNA &gt;2000 IU/ml = start Tenofovir/Entecavir. HCV = Sofosbuvir-based DAA.</t>
        </is>
      </c>
      <c r="I111" s="11" t="inlineStr">
        <is>
          <t>Renal transplant assessment: HCV can be cured with DAA; HBV controlled with antivirals.</t>
        </is>
      </c>
    </row>
    <row r="112" ht="34.95" customHeight="1">
      <c r="A112" s="14" t="inlineStr">
        <is>
          <t>Dialysis per Session</t>
        </is>
      </c>
      <c r="B112" s="14" t="inlineStr">
        <is>
          <t>Online Haemodiafiltration HDF</t>
        </is>
      </c>
      <c r="C112" s="14" t="n">
        <v>1</v>
      </c>
      <c r="D112" s="14" t="inlineStr">
        <is>
          <t>Indication + Setup</t>
        </is>
      </c>
      <c r="E112" s="14" t="inlineStr">
        <is>
          <t>CKD5 on HD with inadequate middle molecule clearance; beta2-microglobulin elevation; uraemic neuropathy</t>
        </is>
      </c>
      <c r="F112" s="14" t="inlineStr">
        <is>
          <t>Nephrologist</t>
        </is>
      </c>
      <c r="G112" s="14" t="inlineStr">
        <is>
          <t>Upgrade from standard HD</t>
        </is>
      </c>
      <c r="H112" s="14" t="inlineStr">
        <is>
          <t>HDF requires ultra-pure water (endotoxin &lt;0.1 EU/ml); not all centres equipped</t>
        </is>
      </c>
      <c r="I112" s="14" t="inlineStr">
        <is>
          <t>Better clearance of middle molecules (b2-microglobulin, FGF23) vs standard HD</t>
        </is>
      </c>
    </row>
    <row r="113" ht="34.95" customHeight="1">
      <c r="A113" s="11" t="inlineStr">
        <is>
          <t>Dialysis per Session</t>
        </is>
      </c>
      <c r="B113" s="11" t="inlineStr">
        <is>
          <t>Online Haemodiafiltration HDF</t>
        </is>
      </c>
      <c r="C113" s="11" t="n">
        <v>2</v>
      </c>
      <c r="D113" s="11" t="inlineStr">
        <is>
          <t>HDF Session</t>
        </is>
      </c>
      <c r="E113" s="11" t="inlineStr">
        <is>
          <t>4h session; high-flux dialyser; online HDF substitution fluid 15-25L/session; blood flow 300-350ml/min</t>
        </is>
      </c>
      <c r="F113" s="11" t="inlineStr">
        <is>
          <t>Dialysis Nurse + Nephrologist</t>
        </is>
      </c>
      <c r="G113" s="11" t="inlineStr">
        <is>
          <t>3x weekly</t>
        </is>
      </c>
      <c r="H113" s="11" t="inlineStr">
        <is>
          <t>Substitution volume &gt;21L/session = high-volume HDF (better outcomes evidence)</t>
        </is>
      </c>
      <c r="I113" s="11" t="inlineStr">
        <is>
          <t>Target Kt/V &gt;1.4; URR &gt;65%; monthly adequacy testing</t>
        </is>
      </c>
    </row>
    <row r="114" ht="34.95" customHeight="1">
      <c r="A114" s="14" t="inlineStr">
        <is>
          <t>Dialysis per Session</t>
        </is>
      </c>
      <c r="B114" s="14" t="inlineStr">
        <is>
          <t>Online Haemodiafiltration HDF</t>
        </is>
      </c>
      <c r="C114" s="14" t="n">
        <v>3</v>
      </c>
      <c r="D114" s="14" t="inlineStr">
        <is>
          <t>Monitoring + Outcomes</t>
        </is>
      </c>
      <c r="E114" s="14" t="inlineStr">
        <is>
          <t>Monthly: CBC, KFT, phosphate, PTH, albumin; beta2-microglobulin q3 months; cardiovascular event monitoring</t>
        </is>
      </c>
      <c r="F114" s="14" t="inlineStr">
        <is>
          <t>Nephrologist</t>
        </is>
      </c>
      <c r="G114" s="14" t="inlineStr">
        <is>
          <t>Monthly labs, 3-monthly b2-microglobulin</t>
        </is>
      </c>
      <c r="H114" s="14" t="inlineStr">
        <is>
          <t>HDF reduces cardiovascular mortality 35% vs standard HD (ESHOL trial data)</t>
        </is>
      </c>
      <c r="I114" s="14" t="inlineStr">
        <is>
          <t>Hb target 10-12 g/dL; EPO dose may reduce with HDF (better response).</t>
        </is>
      </c>
    </row>
    <row r="115" ht="34.95" customHeight="1">
      <c r="A115" s="9" t="inlineStr">
        <is>
          <t>Neurosurgery - Brain Tumor</t>
        </is>
      </c>
      <c r="B115" s="9" t="inlineStr">
        <is>
          <t>Stereotactic Brain Biopsy</t>
        </is>
      </c>
      <c r="C115" s="9" t="n">
        <v>1</v>
      </c>
      <c r="D115" s="9" t="inlineStr">
        <is>
          <t>Pre-Op Assessment</t>
        </is>
      </c>
      <c r="E115" s="9" t="inlineStr">
        <is>
          <t>MRI brain with contrast + spectroscopy; PET brain if lymphoma suspected; KFT, CBC, Coag</t>
        </is>
      </c>
      <c r="F115" s="9" t="inlineStr">
        <is>
          <t>Neurosurgeon + Neuroradiologist</t>
        </is>
      </c>
      <c r="G115" s="9" t="inlineStr">
        <is>
          <t>1 week pre-op</t>
        </is>
      </c>
      <c r="H115" s="9" t="inlineStr">
        <is>
          <t>Biopsy first if: deep-seated, eloquent area, multiple lesions, lymphoma suspected</t>
        </is>
      </c>
      <c r="I115" s="9" t="inlineStr">
        <is>
          <t>Robotic/frameless: CGHS NS067 = 53865; frameless navigation adds 150000 premium</t>
        </is>
      </c>
    </row>
    <row r="116" ht="34.95" customHeight="1">
      <c r="A116" s="14" t="inlineStr">
        <is>
          <t>Neurosurgery - Brain Tumor</t>
        </is>
      </c>
      <c r="B116" s="14" t="inlineStr">
        <is>
          <t>Stereotactic Brain Biopsy</t>
        </is>
      </c>
      <c r="C116" s="14" t="n">
        <v>2</v>
      </c>
      <c r="D116" s="14" t="inlineStr">
        <is>
          <t>Biopsy Procedure</t>
        </is>
      </c>
      <c r="E116" s="14" t="inlineStr">
        <is>
          <t>Frameless stereotactic setup (BrainLab); burr hole; biopsy needle to target coordinates; multiple cores</t>
        </is>
      </c>
      <c r="F116" s="14" t="inlineStr">
        <is>
          <t>Neurosurgeon</t>
        </is>
      </c>
      <c r="G116" s="14" t="inlineStr">
        <is>
          <t>Day 0 (ICU overnight)</t>
        </is>
      </c>
      <c r="H116" s="14" t="inlineStr">
        <is>
          <t>Yield: 90-95% diagnostic. Send fresh tissue for HPE + culture + flow cytometry</t>
        </is>
      </c>
      <c r="I116" s="14" t="inlineStr">
        <is>
          <t>Intraop smear for immediate diagnosis. Frozen section if available.</t>
        </is>
      </c>
    </row>
    <row r="117" ht="34.95" customHeight="1">
      <c r="A117" s="11" t="inlineStr">
        <is>
          <t>Neurosurgery - Brain Tumor</t>
        </is>
      </c>
      <c r="B117" s="11" t="inlineStr">
        <is>
          <t>Stereotactic Brain Biopsy</t>
        </is>
      </c>
      <c r="C117" s="11" t="n">
        <v>3</v>
      </c>
      <c r="D117" s="11" t="inlineStr">
        <is>
          <t>Post-Op + HPE Result</t>
        </is>
      </c>
      <c r="E117" s="11" t="inlineStr">
        <is>
          <t>CT head post-op (bleed check); ICU overnight; discharge Day 2-3; await HPE 5-7 days</t>
        </is>
      </c>
      <c r="F117" s="11" t="inlineStr">
        <is>
          <t>Neurosurgeon + Multidisciplinary Tumour Board</t>
        </is>
      </c>
      <c r="G117" s="11" t="inlineStr">
        <is>
          <t>Day 2, HPE Day 7, MDT Day 14</t>
        </is>
      </c>
      <c r="H117" s="11" t="inlineStr">
        <is>
          <t>Complication: haematoma 1-2%; neurological deficit 1%; mortality &lt;0.5%</t>
        </is>
      </c>
      <c r="I117" s="11" t="inlineStr">
        <is>
          <t>MDT review: GBM = RT+TMZ Stupp; PCNSL = R-MTX chemo. HPE guides all treatment.</t>
        </is>
      </c>
    </row>
    <row r="118" ht="34.95" customHeight="1">
      <c r="A118" s="14" t="inlineStr">
        <is>
          <t>Neurosurgery - Brain Tumor</t>
        </is>
      </c>
      <c r="B118" s="14" t="inlineStr">
        <is>
          <t>Awake Craniotomy</t>
        </is>
      </c>
      <c r="C118" s="14" t="n">
        <v>1</v>
      </c>
      <c r="D118" s="14" t="inlineStr">
        <is>
          <t>Pre-Op Assessment + Counselling</t>
        </is>
      </c>
      <c r="E118" s="14" t="inlineStr">
        <is>
          <t>MRI fMRI (eloquent area mapping); DTI tractography; neuropsychology baseline; Wada test if indicated</t>
        </is>
      </c>
      <c r="F118" s="14" t="inlineStr">
        <is>
          <t>Neurosurgeon + Neuropsychologist + Neuroradiologist</t>
        </is>
      </c>
      <c r="G118" s="14" t="inlineStr">
        <is>
          <t>2 weeks pre-op</t>
        </is>
      </c>
      <c r="H118" s="14" t="inlineStr">
        <is>
          <t>Awake craniotomy essential if tumour in Broca/Wernicke/motor cortex (&lt;1cm from eloquent cortex)</t>
        </is>
      </c>
      <c r="I118" s="14" t="inlineStr">
        <is>
          <t>Extensive patient counselling: explain stay awake during surgery, language/motor tasks</t>
        </is>
      </c>
    </row>
    <row r="119" ht="34.95" customHeight="1">
      <c r="A119" s="11" t="inlineStr">
        <is>
          <t>Neurosurgery - Brain Tumor</t>
        </is>
      </c>
      <c r="B119" s="11" t="inlineStr">
        <is>
          <t>Awake Craniotomy</t>
        </is>
      </c>
      <c r="C119" s="11" t="n">
        <v>2</v>
      </c>
      <c r="D119" s="11" t="inlineStr">
        <is>
          <t>Surgery - Awake Phase</t>
        </is>
      </c>
      <c r="E119" s="11" t="inlineStr">
        <is>
          <t>Asleep-Awake-Asleep technique; neuronavigation; cortical mapping with bipolar stimulator; patient performs language/motor tasks</t>
        </is>
      </c>
      <c r="F119" s="11" t="inlineStr">
        <is>
          <t>Neurosurgeon + Neuropsychologist + Anaesthetist</t>
        </is>
      </c>
      <c r="G119" s="11" t="inlineStr">
        <is>
          <t>Day 0</t>
        </is>
      </c>
      <c r="H119" s="11" t="inlineStr">
        <is>
          <t>Stop resection if patient develops deficit during mapping = cortical eloquent area</t>
        </is>
      </c>
      <c r="I119" s="11" t="inlineStr">
        <is>
          <t>5-ALA fluorescence for GBM margins. Intraop ultrasound for residual assessment.</t>
        </is>
      </c>
    </row>
    <row r="120" ht="34.95" customHeight="1">
      <c r="A120" s="15" t="inlineStr">
        <is>
          <t>Neurosurgery - Brain Tumor</t>
        </is>
      </c>
      <c r="B120" s="15" t="inlineStr">
        <is>
          <t>Awake Craniotomy</t>
        </is>
      </c>
      <c r="C120" s="15" t="n">
        <v>3</v>
      </c>
      <c r="D120" s="15" t="inlineStr">
        <is>
          <t>ICU + Recovery</t>
        </is>
      </c>
      <c r="E120" s="15" t="inlineStr">
        <is>
          <t>ICU 24-48h; CT same day; language/motor assessment q1h; steroids taper; anti-epileptics</t>
        </is>
      </c>
      <c r="F120" s="15" t="inlineStr">
        <is>
          <t>Neurosurgeon + ICU + Speech Therapist</t>
        </is>
      </c>
      <c r="G120" s="15" t="inlineStr">
        <is>
          <t>Day 0-3</t>
        </is>
      </c>
      <c r="H120" s="15" t="inlineStr">
        <is>
          <t>New deficit: CT rule out haematoma; MRI within 72h = residual vs oedema</t>
        </is>
      </c>
      <c r="I120" s="15" t="inlineStr">
        <is>
          <t>Speech therapy from Day 2 if language deficit present. PT from Day 2.</t>
        </is>
      </c>
    </row>
    <row r="121" ht="34.95" customHeight="1">
      <c r="A121" s="13" t="inlineStr">
        <is>
          <t>Neurosurgery - Brain Tumor</t>
        </is>
      </c>
      <c r="B121" s="13" t="inlineStr">
        <is>
          <t>Awake Craniotomy</t>
        </is>
      </c>
      <c r="C121" s="13" t="n">
        <v>4</v>
      </c>
      <c r="D121" s="13" t="inlineStr">
        <is>
          <t>Adjuvant + Follow-Up</t>
        </is>
      </c>
      <c r="E121" s="13" t="inlineStr">
        <is>
          <t>HPE + IDH/MGMT/1p19q status; MDT for RT+TMZ vs chemo vs watch; MRI at 3 months</t>
        </is>
      </c>
      <c r="F121" s="13" t="inlineStr">
        <is>
          <t>Multidisciplinary Tumour Board</t>
        </is>
      </c>
      <c r="G121" s="13" t="inlineStr">
        <is>
          <t>2 weeks post-op</t>
        </is>
      </c>
      <c r="H121" s="13" t="inlineStr">
        <is>
          <t>IDH-mutant + MGMT methylated GBM: best response to RT+TMZ (Stupp protocol)</t>
        </is>
      </c>
      <c r="I121" s="13" t="inlineStr">
        <is>
          <t>Tumour board mandatory for all brain tumour cases before adjuvant decision.</t>
        </is>
      </c>
    </row>
    <row r="122" ht="34.95" customHeight="1">
      <c r="A122" s="9" t="inlineStr">
        <is>
          <t>Spinal Surgery</t>
        </is>
      </c>
      <c r="B122" s="9" t="inlineStr">
        <is>
          <t>Endoscopic Discectomy</t>
        </is>
      </c>
      <c r="C122" s="9" t="n">
        <v>1</v>
      </c>
      <c r="D122" s="9" t="inlineStr">
        <is>
          <t>Pre-Op Assessment</t>
        </is>
      </c>
      <c r="E122" s="9" t="inlineStr">
        <is>
          <t>MRI lumbar/cervical spine; NCS/EMG if motor deficit; trial conservative 6 weeks minimum</t>
        </is>
      </c>
      <c r="F122" s="9" t="inlineStr">
        <is>
          <t>Spine Surgeon + Neurologist</t>
        </is>
      </c>
      <c r="G122" s="9" t="inlineStr">
        <is>
          <t>6 weeks conservative first</t>
        </is>
      </c>
      <c r="H122" s="9" t="inlineStr">
        <is>
          <t>Endoscopic (FESS equivalent for spine) for single level PIVD; not for instability</t>
        </is>
      </c>
      <c r="I122" s="9" t="inlineStr">
        <is>
          <t>Urgent surgery: foot drop, cauda equina, progressive motor deficit. Skip trial.</t>
        </is>
      </c>
    </row>
    <row r="123" ht="34.95" customHeight="1">
      <c r="A123" s="11" t="inlineStr">
        <is>
          <t>Spinal Surgery</t>
        </is>
      </c>
      <c r="B123" s="11" t="inlineStr">
        <is>
          <t>Endoscopic Discectomy</t>
        </is>
      </c>
      <c r="C123" s="11" t="n">
        <v>2</v>
      </c>
      <c r="D123" s="11" t="inlineStr">
        <is>
          <t>Endoscopic Surgery</t>
        </is>
      </c>
      <c r="E123" s="11" t="inlineStr">
        <is>
          <t>GA/Spinal; prone; 8mm working channel endoscope; Kambin triangle or interlaminar approach; disc fragment removal under direct vision</t>
        </is>
      </c>
      <c r="F123" s="11" t="inlineStr">
        <is>
          <t>Spine Surgeon (Endoscopic trained)</t>
        </is>
      </c>
      <c r="G123" s="11" t="inlineStr">
        <is>
          <t>Day 0</t>
        </is>
      </c>
      <c r="H123" s="11" t="inlineStr">
        <is>
          <t>CGHS NS068 Endoscopic Discectomy = 53865; endoscope+channel avg 12000-18000 extra</t>
        </is>
      </c>
      <c r="I123" s="11" t="inlineStr">
        <is>
          <t>Learning curve: 100+ cases for proficiency. Fluoroscopy guided throughout.</t>
        </is>
      </c>
    </row>
    <row r="124" ht="34.95" customHeight="1">
      <c r="A124" s="12" t="inlineStr">
        <is>
          <t>Spinal Surgery</t>
        </is>
      </c>
      <c r="B124" s="12" t="inlineStr">
        <is>
          <t>Endoscopic Discectomy</t>
        </is>
      </c>
      <c r="C124" s="12" t="n">
        <v>3</v>
      </c>
      <c r="D124" s="12" t="inlineStr">
        <is>
          <t>Post-Op + Discharge</t>
        </is>
      </c>
      <c r="E124" s="12" t="inlineStr">
        <is>
          <t>Mobilise same day or Day 1; discharge Day 1-2; physio + core strengthening; return to work 1-2 weeks</t>
        </is>
      </c>
      <c r="F124" s="12" t="inlineStr">
        <is>
          <t>Physiotherapist + Surgeon</t>
        </is>
      </c>
      <c r="G124" s="12" t="inlineStr">
        <is>
          <t>Day 1, 6 weeks, 3 months</t>
        </is>
      </c>
      <c r="H124" s="12" t="inlineStr">
        <is>
          <t>Leg pain relief: 80-85% excellent. Recurrence 5-8%. Re-endoscopy if recurrent.</t>
        </is>
      </c>
      <c r="I124" s="12" t="inlineStr">
        <is>
          <t>Fastest return to work of all spinal procedures. Same outcomes as open microdiscectomy.</t>
        </is>
      </c>
    </row>
    <row r="125" ht="34.95" customHeight="1">
      <c r="A125" s="11" t="inlineStr">
        <is>
          <t>Spinal Surgery</t>
        </is>
      </c>
      <c r="B125" s="11" t="inlineStr">
        <is>
          <t>Spinal Fusion Multi-Level</t>
        </is>
      </c>
      <c r="C125" s="11" t="n">
        <v>1</v>
      </c>
      <c r="D125" s="11" t="inlineStr">
        <is>
          <t>Pre-Op Workup</t>
        </is>
      </c>
      <c r="E125" s="11" t="inlineStr">
        <is>
          <t>MRI + CT spine; full-length standing X-ray (sagittal balance); DEXA; EF, CBC, KFT; ICU pre-booking</t>
        </is>
      </c>
      <c r="F125" s="11" t="inlineStr">
        <is>
          <t>Spine Surgeon + Anaesthetist + Physician</t>
        </is>
      </c>
      <c r="G125" s="11" t="inlineStr">
        <is>
          <t>1-2 weeks pre-op</t>
        </is>
      </c>
      <c r="H125" s="11" t="inlineStr">
        <is>
          <t>Multi-level fusion &gt;2 levels: high blood loss risk; cell saver mandatory; ICU post-op</t>
        </is>
      </c>
      <c r="I125" s="11" t="inlineStr">
        <is>
          <t>Intraop neuromonitoring (SSEP/MEP) mandatory ~20000 extra. Pre-book ICU.</t>
        </is>
      </c>
    </row>
    <row r="126" ht="34.95" customHeight="1">
      <c r="A126" s="10" t="inlineStr">
        <is>
          <t>Spinal Surgery</t>
        </is>
      </c>
      <c r="B126" s="10" t="inlineStr">
        <is>
          <t>Spinal Fusion Multi-Level</t>
        </is>
      </c>
      <c r="C126" s="10" t="n">
        <v>2</v>
      </c>
      <c r="D126" s="10" t="inlineStr">
        <is>
          <t>Surgery</t>
        </is>
      </c>
      <c r="E126" s="10" t="inlineStr">
        <is>
          <t>GA prone; multi-level pedicle screws + rods + cages + iliac crest or synthetic bone graft; SSEP/MEP throughout</t>
        </is>
      </c>
      <c r="F126" s="10" t="inlineStr">
        <is>
          <t>Spine Surgeon + Neurophysiologist</t>
        </is>
      </c>
      <c r="G126" s="10" t="inlineStr">
        <is>
          <t>Day 0 (5-8h OR time)</t>
        </is>
      </c>
      <c r="H126" s="10" t="inlineStr">
        <is>
          <t>CGHS OR118 &gt;2 Level Fusion = 70110; implants 130000-170000 = 150000; neuromonitoring 20000 extra</t>
        </is>
      </c>
      <c r="I126" s="10" t="inlineStr">
        <is>
          <t>Robotic screw placement: superior accuracy (&lt; 1% misplacement vs 5-10% freehand).</t>
        </is>
      </c>
    </row>
    <row r="127" ht="34.95" customHeight="1">
      <c r="A127" s="15" t="inlineStr">
        <is>
          <t>Spinal Surgery</t>
        </is>
      </c>
      <c r="B127" s="15" t="inlineStr">
        <is>
          <t>Spinal Fusion Multi-Level</t>
        </is>
      </c>
      <c r="C127" s="15" t="n">
        <v>3</v>
      </c>
      <c r="D127" s="15" t="inlineStr">
        <is>
          <t>ICU + Ward</t>
        </is>
      </c>
      <c r="E127" s="15" t="inlineStr">
        <is>
          <t>ICU 2-3 days; log-roll nursing; drain till &lt;50ml/day; TLSO brace fitting; mobilise Day 3-4</t>
        </is>
      </c>
      <c r="F127" s="15" t="inlineStr">
        <is>
          <t>ICU Team + Physio + Surgeon</t>
        </is>
      </c>
      <c r="G127" s="15" t="inlineStr">
        <is>
          <t>Day 2-4</t>
        </is>
      </c>
      <c r="H127" s="15" t="inlineStr">
        <is>
          <t>Neurological deficit post-op: immediate CT myelogram or MRI; return to OR if haematoma</t>
        </is>
      </c>
      <c r="I127" s="15" t="inlineStr">
        <is>
          <t>Cell saver autologous blood: reduces transfusion by 40-50%. TLSO brace for 3 months.</t>
        </is>
      </c>
    </row>
    <row r="128" ht="34.95" customHeight="1">
      <c r="A128" s="13" t="inlineStr">
        <is>
          <t>Spinal Surgery</t>
        </is>
      </c>
      <c r="B128" s="13" t="inlineStr">
        <is>
          <t>Spinal Fusion Multi-Level</t>
        </is>
      </c>
      <c r="C128" s="13" t="n">
        <v>4</v>
      </c>
      <c r="D128" s="13" t="inlineStr">
        <is>
          <t>Follow-Up</t>
        </is>
      </c>
      <c r="E128" s="13" t="inlineStr">
        <is>
          <t>CT fusion at 6 months; X-ray at 6 weeks + 1 year; VAS/ODI scores; physio 3-6 months</t>
        </is>
      </c>
      <c r="F128" s="13" t="inlineStr">
        <is>
          <t>Spine Surgeon</t>
        </is>
      </c>
      <c r="G128" s="13" t="inlineStr">
        <is>
          <t>6 weeks, 6 months, 1 year</t>
        </is>
      </c>
      <c r="H128" s="13" t="inlineStr">
        <is>
          <t>Non-union at 6 months: bone stimulator (pulsed EMF); revision surgery if symptomatic</t>
        </is>
      </c>
      <c r="I128" s="13" t="inlineStr">
        <is>
          <t>Adjacent segment disease: 3-4%/year. Long-term follow-up essential.</t>
        </is>
      </c>
    </row>
    <row r="129" ht="34.95" customHeight="1">
      <c r="A129" s="11" t="inlineStr">
        <is>
          <t>Spinal Surgery</t>
        </is>
      </c>
      <c r="B129" s="11" t="inlineStr">
        <is>
          <t>Robotic Spinal Fusion</t>
        </is>
      </c>
      <c r="C129" s="11" t="n">
        <v>1</v>
      </c>
      <c r="D129" s="11" t="inlineStr">
        <is>
          <t>Pre-Op + Robotic Planning</t>
        </is>
      </c>
      <c r="E129" s="11" t="inlineStr">
        <is>
          <t>CT spine for robotic trajectory planning (Mazor X/Globus Excelsius); MRI; DEXA; intraop neuromonitoring setup</t>
        </is>
      </c>
      <c r="F129" s="11" t="inlineStr">
        <is>
          <t>Spine Surgeon (Robotic trained) + Physicist</t>
        </is>
      </c>
      <c r="G129" s="11" t="inlineStr">
        <is>
          <t>1-2 weeks pre-op</t>
        </is>
      </c>
      <c r="H129" s="11" t="inlineStr">
        <is>
          <t>CGHS OR118 = 70110 + 150000 robotic premium; specialist centre mandatory</t>
        </is>
      </c>
      <c r="I129" s="11" t="inlineStr">
        <is>
          <t>Robotic: &lt;1% screw misplacement vs 5-10% freehand. Reduced radiation exposure to OR team.</t>
        </is>
      </c>
    </row>
    <row r="130" ht="34.95" customHeight="1">
      <c r="A130" s="14" t="inlineStr">
        <is>
          <t>Spinal Surgery</t>
        </is>
      </c>
      <c r="B130" s="14" t="inlineStr">
        <is>
          <t>Robotic Spinal Fusion</t>
        </is>
      </c>
      <c r="C130" s="14" t="n">
        <v>2</v>
      </c>
      <c r="D130" s="14" t="inlineStr">
        <is>
          <t>Robotic Surgery</t>
        </is>
      </c>
      <c r="E130" s="14" t="inlineStr">
        <is>
          <t>Robotic arm-guided pedicle screw placement; confirms trajectory each screw; manual insertion through guide tube; SSEP/MEP</t>
        </is>
      </c>
      <c r="F130" s="14" t="inlineStr">
        <is>
          <t>Spine Surgeon (Robotic trained)</t>
        </is>
      </c>
      <c r="G130" s="14" t="inlineStr">
        <is>
          <t>Day 0</t>
        </is>
      </c>
      <c r="H130" s="14" t="inlineStr">
        <is>
          <t>Intraop CT (O-arm) confirms screw position before closure; gold standard accuracy</t>
        </is>
      </c>
      <c r="I130" s="14" t="inlineStr">
        <is>
          <t>Smaller incisions possible with robotic guidance. Faster post-op recovery.</t>
        </is>
      </c>
    </row>
    <row r="131" ht="34.95" customHeight="1">
      <c r="A131" s="12" t="inlineStr">
        <is>
          <t>Spinal Surgery</t>
        </is>
      </c>
      <c r="B131" s="12" t="inlineStr">
        <is>
          <t>Robotic Spinal Fusion</t>
        </is>
      </c>
      <c r="C131" s="12" t="n">
        <v>3</v>
      </c>
      <c r="D131" s="12" t="inlineStr">
        <is>
          <t>Recovery + Follow-Up</t>
        </is>
      </c>
      <c r="E131" s="12" t="inlineStr">
        <is>
          <t>Mobilise Day 2; discharge Day 5-7; CT fusion at 6 months; return to work 4-6 weeks (desk job)</t>
        </is>
      </c>
      <c r="F131" s="12" t="inlineStr">
        <is>
          <t>Physiotherapist + Surgeon</t>
        </is>
      </c>
      <c r="G131" s="12" t="inlineStr">
        <is>
          <t>Day 2, 6 weeks, 6 months, 1 year</t>
        </is>
      </c>
      <c r="H131" s="12" t="inlineStr">
        <is>
          <t>Robotic advantage: reduced revision surgery rate (superior accuracy)</t>
        </is>
      </c>
      <c r="I131" s="12" t="inlineStr">
        <is>
          <t>Physiotherapy 6 weeks mandatory. TLSO brace 6-12 weeks.</t>
        </is>
      </c>
    </row>
    <row r="132" ht="34.95" customHeight="1">
      <c r="A132" s="14" t="inlineStr">
        <is>
          <t>Diagnostics</t>
        </is>
      </c>
      <c r="B132" s="14" t="inlineStr">
        <is>
          <t>HbA1c + Diabetes Panel</t>
        </is>
      </c>
      <c r="C132" s="14" t="n">
        <v>1</v>
      </c>
      <c r="D132" s="14" t="inlineStr">
        <is>
          <t>Pre-Test Preparation</t>
        </is>
      </c>
      <c r="E132" s="14" t="inlineStr">
        <is>
          <t>Fasting 8-10h (for fasting blood sugar); water allowed; continue DM medications unless doctor advises</t>
        </is>
      </c>
      <c r="F132" s="14" t="inlineStr">
        <is>
          <t>Pathologist + Clinician</t>
        </is>
      </c>
      <c r="G132" s="14" t="inlineStr">
        <is>
          <t>Day of test</t>
        </is>
      </c>
      <c r="H132" s="14" t="inlineStr">
        <is>
          <t>Stop Biotin 48h prior; Vitamin C supplements can falsely lower HbA1c (HPLC interference)</t>
        </is>
      </c>
      <c r="I132" s="14" t="inlineStr">
        <is>
          <t>HbA1c not affected by short-term fasting; FBS requires 8-10h fast.</t>
        </is>
      </c>
    </row>
    <row r="133" ht="34.95" customHeight="1">
      <c r="A133" s="11" t="inlineStr">
        <is>
          <t>Diagnostics</t>
        </is>
      </c>
      <c r="B133" s="11" t="inlineStr">
        <is>
          <t>HbA1c + Diabetes Panel</t>
        </is>
      </c>
      <c r="C133" s="11" t="n">
        <v>2</v>
      </c>
      <c r="D133" s="11" t="inlineStr">
        <is>
          <t>Blood Draw + Analysis</t>
        </is>
      </c>
      <c r="E133" s="11" t="inlineStr">
        <is>
          <t>Venous blood draw; EDTA tube for HbA1c (HPLC method); fluoride tube for glucose; serum for insulin</t>
        </is>
      </c>
      <c r="F133" s="11" t="inlineStr">
        <is>
          <t>Phlebotomist + Lab Technician</t>
        </is>
      </c>
      <c r="G133" s="11" t="inlineStr">
        <is>
          <t>5-10 minutes</t>
        </is>
      </c>
      <c r="H133" s="11" t="inlineStr">
        <is>
          <t>HbA1c HPLC preferred over immunoturbidimetry for accuracy; haemoglobinopathies can falsify HbA1c</t>
        </is>
      </c>
      <c r="I133" s="11" t="inlineStr">
        <is>
          <t>FBS &lt;100: normal. 100-125: pre-DM. &gt;126: DM. HbA1c: &lt;5.7% normal, 5.7-6.4% pre-DM, &gt;6.5% DM.</t>
        </is>
      </c>
    </row>
    <row r="134" ht="34.95" customHeight="1">
      <c r="A134" s="14" t="inlineStr">
        <is>
          <t>Diagnostics</t>
        </is>
      </c>
      <c r="B134" s="14" t="inlineStr">
        <is>
          <t>HbA1c + Diabetes Panel</t>
        </is>
      </c>
      <c r="C134" s="14" t="n">
        <v>3</v>
      </c>
      <c r="D134" s="14" t="inlineStr">
        <is>
          <t>Result Interpretation + Action</t>
        </is>
      </c>
      <c r="E134" s="14" t="inlineStr">
        <is>
          <t>HbA1c &gt;7% in known DM = adjust medications; PPBS &gt;200 + symptoms = diagnose DM; refer endocrinologist if HbA1c &gt;9%</t>
        </is>
      </c>
      <c r="F134" s="14" t="inlineStr">
        <is>
          <t>Clinician + Endocrinologist if needed</t>
        </is>
      </c>
      <c r="G134" s="14" t="inlineStr">
        <is>
          <t>OPD review</t>
        </is>
      </c>
      <c r="H134" s="14" t="inlineStr">
        <is>
          <t>Targets: HbA1c &lt;7% for most DM patients; &lt;8% for elderly/comorbid</t>
        </is>
      </c>
      <c r="I134" s="14" t="inlineStr">
        <is>
          <t>Resume diet immediately after blood draw. Repeat HbA1c every 3 months if uncontrolled.</t>
        </is>
      </c>
    </row>
    <row r="135" ht="34.95" customHeight="1">
      <c r="A135" s="11" t="inlineStr">
        <is>
          <t>Diagnostics</t>
        </is>
      </c>
      <c r="B135" s="11" t="inlineStr">
        <is>
          <t>Lipid Profile + Cardiac Risk</t>
        </is>
      </c>
      <c r="C135" s="11" t="n">
        <v>1</v>
      </c>
      <c r="D135" s="11" t="inlineStr">
        <is>
          <t>Pre-Test Preparation</t>
        </is>
      </c>
      <c r="E135" s="11" t="inlineStr">
        <is>
          <t>Fasting 10-12h mandatory (water allowed); avoid alcohol 24h prior; stop statins only if doctor advises</t>
        </is>
      </c>
      <c r="F135" s="11" t="inlineStr">
        <is>
          <t>Clinician</t>
        </is>
      </c>
      <c r="G135" s="11" t="inlineStr">
        <is>
          <t>Day of test</t>
        </is>
      </c>
      <c r="H135" s="11" t="inlineStr">
        <is>
          <t>Non-fasting lipids acceptable for cardiovascular risk screening in some guidelines (AHA 2018)</t>
        </is>
      </c>
      <c r="I135" s="11" t="inlineStr">
        <is>
          <t>Triglycerides falsely elevated with non-fasting sample. LDL calculation requires fasting.</t>
        </is>
      </c>
    </row>
    <row r="136" ht="34.95" customHeight="1">
      <c r="A136" s="14" t="inlineStr">
        <is>
          <t>Diagnostics</t>
        </is>
      </c>
      <c r="B136" s="14" t="inlineStr">
        <is>
          <t>Lipid Profile + Cardiac Risk</t>
        </is>
      </c>
      <c r="C136" s="14" t="n">
        <v>2</v>
      </c>
      <c r="D136" s="14" t="inlineStr">
        <is>
          <t>Blood Draw + Analysis</t>
        </is>
      </c>
      <c r="E136" s="14" t="inlineStr">
        <is>
          <t>Serum tube; enzymatic assay for TC/TG/HDL; LDL by Friedewald formula if TG &lt;400 mg/dL</t>
        </is>
      </c>
      <c r="F136" s="14" t="inlineStr">
        <is>
          <t>Phlebotomist + Lab Tech</t>
        </is>
      </c>
      <c r="G136" s="14" t="inlineStr">
        <is>
          <t>5-10 minutes</t>
        </is>
      </c>
      <c r="H136" s="14" t="inlineStr">
        <is>
          <t>If TG &gt;400 mg/dL: direct LDL assay required (Friedewald invalid)</t>
        </is>
      </c>
      <c r="I136" s="14" t="inlineStr">
        <is>
          <t>LDL target: &lt;70 mg/dL (very high CV risk/post-MI); &lt;100 (high risk); &lt;130 (low risk).</t>
        </is>
      </c>
    </row>
    <row r="137" ht="34.95" customHeight="1">
      <c r="A137" s="11" t="inlineStr">
        <is>
          <t>Diagnostics</t>
        </is>
      </c>
      <c r="B137" s="11" t="inlineStr">
        <is>
          <t>Lipid Profile + Cardiac Risk</t>
        </is>
      </c>
      <c r="C137" s="11" t="n">
        <v>3</v>
      </c>
      <c r="D137" s="11" t="inlineStr">
        <is>
          <t>Result Interpretation</t>
        </is>
      </c>
      <c r="E137" s="11" t="inlineStr">
        <is>
          <t>10-year ASCVD risk calculation (PCE); statin initiation per ACC/AHA guidelines</t>
        </is>
      </c>
      <c r="F137" s="11" t="inlineStr">
        <is>
          <t>Cardiologist / Internist</t>
        </is>
      </c>
      <c r="G137" s="11" t="inlineStr">
        <is>
          <t>OPD review</t>
        </is>
      </c>
      <c r="H137" s="11" t="inlineStr">
        <is>
          <t>Non-HDL cholesterol = TC minus HDL; target non-HDL &lt;30 mg/dL above LDL target</t>
        </is>
      </c>
      <c r="I137" s="11" t="inlineStr">
        <is>
          <t>Resume diet immediately. Recheck fasting lipids 4-6 weeks after statin initiation.</t>
        </is>
      </c>
    </row>
    <row r="138" ht="34.95" customHeight="1">
      <c r="A138" s="14" t="inlineStr">
        <is>
          <t>Diagnostics</t>
        </is>
      </c>
      <c r="B138" s="14" t="inlineStr">
        <is>
          <t>Kidney Function Test (KFT)</t>
        </is>
      </c>
      <c r="C138" s="14" t="n">
        <v>1</v>
      </c>
      <c r="D138" s="14" t="inlineStr">
        <is>
          <t>Preparation</t>
        </is>
      </c>
      <c r="E138" s="14" t="inlineStr">
        <is>
          <t>No fasting required; hydrate well (avoid dehydration); avoid high protein meal night before; hold NSAIDs day of test</t>
        </is>
      </c>
      <c r="F138" s="14" t="inlineStr">
        <is>
          <t>Clinician</t>
        </is>
      </c>
      <c r="G138" s="14" t="inlineStr">
        <is>
          <t>Day of test</t>
        </is>
      </c>
      <c r="H138" s="14" t="inlineStr">
        <is>
          <t>Creatinine falsely elevated: dehydration, high protein meal, rhabdomyolysis, cimetidine</t>
        </is>
      </c>
      <c r="I138" s="14" t="inlineStr">
        <is>
          <t>KFT = Creatinine, Blood Urea, Uric Acid, Na+, K+, Cl-, HCO3-, eGFR calculated.</t>
        </is>
      </c>
    </row>
    <row r="139" ht="34.95" customHeight="1">
      <c r="A139" s="11" t="inlineStr">
        <is>
          <t>Diagnostics</t>
        </is>
      </c>
      <c r="B139" s="11" t="inlineStr">
        <is>
          <t>Kidney Function Test (KFT)</t>
        </is>
      </c>
      <c r="C139" s="11" t="n">
        <v>2</v>
      </c>
      <c r="D139" s="11" t="inlineStr">
        <is>
          <t>Blood Draw + Analysis</t>
        </is>
      </c>
      <c r="E139" s="11" t="inlineStr">
        <is>
          <t>Serum tube; Jaffe reaction or enzymatic for creatinine; eGFR = CKD-EPI or MDRD formula</t>
        </is>
      </c>
      <c r="F139" s="11" t="inlineStr">
        <is>
          <t>Phlebotomist + Lab Tech</t>
        </is>
      </c>
      <c r="G139" s="11" t="inlineStr">
        <is>
          <t>5-10 minutes</t>
        </is>
      </c>
      <c r="H139" s="11" t="inlineStr">
        <is>
          <t>CKD-EPI preferred over MDRD for eGFR &gt;60; eGFR &lt;15 = dialysis evaluation</t>
        </is>
      </c>
      <c r="I139" s="11" t="inlineStr">
        <is>
          <t>eGFR &gt;90: normal. 60-89: mildly reduced. 30-59: moderate CKD. &lt;30: severe CKD.</t>
        </is>
      </c>
    </row>
    <row r="140" ht="34.95" customHeight="1">
      <c r="A140" s="14" t="inlineStr">
        <is>
          <t>Diagnostics</t>
        </is>
      </c>
      <c r="B140" s="14" t="inlineStr">
        <is>
          <t>Kidney Function Test (KFT)</t>
        </is>
      </c>
      <c r="C140" s="14" t="n">
        <v>3</v>
      </c>
      <c r="D140" s="14" t="inlineStr">
        <is>
          <t>Result Interpretation + Action</t>
        </is>
      </c>
      <c r="E140" s="14" t="inlineStr">
        <is>
          <t>Creatinine rising trend = nephrology referral; K+ &gt;6.0 = urgent action (ECG, medical management)</t>
        </is>
      </c>
      <c r="F140" s="14" t="inlineStr">
        <is>
          <t>Nephrologist + Clinician</t>
        </is>
      </c>
      <c r="G140" s="14" t="inlineStr">
        <is>
          <t>OPD or urgent</t>
        </is>
      </c>
      <c r="H140" s="14" t="inlineStr">
        <is>
          <t>Acute kidney injury: creatinine rise &gt;0.3 mg/dL in 48h or &gt;1.5x baseline in 7 days</t>
        </is>
      </c>
      <c r="I140" s="14" t="inlineStr">
        <is>
          <t>Avoid contrast in KFT-deranged patients; creatinine &gt;1.5 = use LOCM contrast with hydration.</t>
        </is>
      </c>
    </row>
    <row r="141" ht="34.95" customHeight="1">
      <c r="A141" s="11" t="inlineStr">
        <is>
          <t>Diagnostics</t>
        </is>
      </c>
      <c r="B141" s="11" t="inlineStr">
        <is>
          <t>Liver Function Test (LFT)</t>
        </is>
      </c>
      <c r="C141" s="11" t="n">
        <v>1</v>
      </c>
      <c r="D141" s="11" t="inlineStr">
        <is>
          <t>Preparation</t>
        </is>
      </c>
      <c r="E141" s="11" t="inlineStr">
        <is>
          <t>No specific fasting required; avoid alcohol 24-48h prior; check current medications (hepatotoxic drugs)</t>
        </is>
      </c>
      <c r="F141" s="11" t="inlineStr">
        <is>
          <t>Clinician</t>
        </is>
      </c>
      <c r="G141" s="11" t="inlineStr">
        <is>
          <t>Day of test</t>
        </is>
      </c>
      <c r="H141" s="11" t="inlineStr">
        <is>
          <t>Many drugs elevate SGPT/SGOT: statins, paracetamol, anti-TB drugs, NSAIDs</t>
        </is>
      </c>
      <c r="I141" s="11" t="inlineStr">
        <is>
          <t>LFT includes: SGOT(AST), SGPT(ALT), ALP, GGT, Bilirubin T/D, Albumin, Total Protein, INR.</t>
        </is>
      </c>
    </row>
    <row r="142" ht="34.95" customHeight="1">
      <c r="A142" s="14" t="inlineStr">
        <is>
          <t>Diagnostics</t>
        </is>
      </c>
      <c r="B142" s="14" t="inlineStr">
        <is>
          <t>Liver Function Test (LFT)</t>
        </is>
      </c>
      <c r="C142" s="14" t="n">
        <v>2</v>
      </c>
      <c r="D142" s="14" t="inlineStr">
        <is>
          <t>Blood Draw + Analysis</t>
        </is>
      </c>
      <c r="E142" s="14" t="inlineStr">
        <is>
          <t>Serum tube; UV kinetic assay for SGOT/SGPT; ALP-GGT for cholestasis; bilirubin direct/indirect</t>
        </is>
      </c>
      <c r="F142" s="14" t="inlineStr">
        <is>
          <t>Phlebotomist + Lab Tech</t>
        </is>
      </c>
      <c r="G142" s="14" t="inlineStr">
        <is>
          <t>5-10 minutes</t>
        </is>
      </c>
      <c r="H142" s="14" t="inlineStr">
        <is>
          <t>SGPT &gt;3x upper limit of normal in asymptomatic patients = drug-induced or NAFLD evaluation</t>
        </is>
      </c>
      <c r="I142" s="14" t="inlineStr">
        <is>
          <t>SGOT:SGPT &gt;2:1 = alcoholic hepatitis. ALP + GGT elevated = cholestatic pattern.</t>
        </is>
      </c>
    </row>
    <row r="143" ht="34.95" customHeight="1">
      <c r="A143" s="11" t="inlineStr">
        <is>
          <t>Diagnostics</t>
        </is>
      </c>
      <c r="B143" s="11" t="inlineStr">
        <is>
          <t>Liver Function Test (LFT)</t>
        </is>
      </c>
      <c r="C143" s="11" t="n">
        <v>3</v>
      </c>
      <c r="D143" s="11" t="inlineStr">
        <is>
          <t>Result Interpretation + Action</t>
        </is>
      </c>
      <c r="E143" s="11" t="inlineStr">
        <is>
          <t>Obstructive jaundice (ALP/GGT high, Bilirubin high): USG abdomen + MRCP; Hepatocellular (SGPT high): viral hepatitis screen</t>
        </is>
      </c>
      <c r="F143" s="11" t="inlineStr">
        <is>
          <t>Gastroenterologist + Clinician</t>
        </is>
      </c>
      <c r="G143" s="11" t="inlineStr">
        <is>
          <t>OPD</t>
        </is>
      </c>
      <c r="H143" s="11" t="inlineStr">
        <is>
          <t>INR &gt;1.5 with low albumin = synthetic dysfunction = significant liver disease</t>
        </is>
      </c>
      <c r="I143" s="11" t="inlineStr">
        <is>
          <t>Acute liver failure: SGPT &gt;10x + INR &gt;1.5 + encephalopathy = emergency referral.</t>
        </is>
      </c>
    </row>
    <row r="144" ht="34.95" customHeight="1">
      <c r="A144" s="14" t="inlineStr">
        <is>
          <t>Diagnostics</t>
        </is>
      </c>
      <c r="B144" s="14" t="inlineStr">
        <is>
          <t>Dengue NS1 Antigen</t>
        </is>
      </c>
      <c r="C144" s="14" t="n">
        <v>1</v>
      </c>
      <c r="D144" s="14" t="inlineStr">
        <is>
          <t>Clinical Assessment + Timing</t>
        </is>
      </c>
      <c r="E144" s="14" t="inlineStr">
        <is>
          <t>Fever Day 1-5 (dengue-endemic area); platelet trend; NS1 Ag most sensitive Day 1-5 of fever</t>
        </is>
      </c>
      <c r="F144" s="14" t="inlineStr">
        <is>
          <t>Emergency Clinician / Physician</t>
        </is>
      </c>
      <c r="G144" s="14" t="inlineStr">
        <is>
          <t>Acute illness</t>
        </is>
      </c>
      <c r="H144" s="14" t="inlineStr">
        <is>
          <t>NS1 positive = acute dengue. Add IgM/IgG if Day 5+ of fever for serodiagnosis</t>
        </is>
      </c>
      <c r="I144" s="14" t="inlineStr">
        <is>
          <t>Dengue warning signs: severe abdominal pain, persistent vomiting, bleeding, lethargy, rapid breathing.</t>
        </is>
      </c>
    </row>
    <row r="145" ht="34.95" customHeight="1">
      <c r="A145" s="11" t="inlineStr">
        <is>
          <t>Diagnostics</t>
        </is>
      </c>
      <c r="B145" s="11" t="inlineStr">
        <is>
          <t>Dengue NS1 Antigen</t>
        </is>
      </c>
      <c r="C145" s="11" t="n">
        <v>2</v>
      </c>
      <c r="D145" s="11" t="inlineStr">
        <is>
          <t>Blood Draw + Analysis</t>
        </is>
      </c>
      <c r="E145" s="11" t="inlineStr">
        <is>
          <t>Serum tube; ELISA/rapid card test for NS1 Ag; add IgM/IgG ELISA if Day 5+; CBC with platelet count mandatory</t>
        </is>
      </c>
      <c r="F145" s="11" t="inlineStr">
        <is>
          <t>Phlebotomist + Lab Tech</t>
        </is>
      </c>
      <c r="G145" s="11" t="inlineStr">
        <is>
          <t>5-10 minutes + 1-4h for ELISA</t>
        </is>
      </c>
      <c r="H145" s="11" t="inlineStr">
        <is>
          <t>NS1 sensitivity: 85-90% Day 1-5. Falls after Day 5. Add IgM/IgG for late presentation.</t>
        </is>
      </c>
      <c r="I145" s="11" t="inlineStr">
        <is>
          <t>Platelet &lt;100,000 = dengue haemorrhagic fever risk. &lt;20,000 = platelet transfusion threshold.</t>
        </is>
      </c>
    </row>
    <row r="146" ht="34.95" customHeight="1">
      <c r="A146" s="14" t="inlineStr">
        <is>
          <t>Diagnostics</t>
        </is>
      </c>
      <c r="B146" s="14" t="inlineStr">
        <is>
          <t>Dengue NS1 Antigen</t>
        </is>
      </c>
      <c r="C146" s="14" t="n">
        <v>3</v>
      </c>
      <c r="D146" s="14" t="inlineStr">
        <is>
          <t>Management + Monitoring</t>
        </is>
      </c>
      <c r="E146" s="14" t="inlineStr">
        <is>
          <t>NS1 positive: serial CBC q12-24h; strict fluid balance; platelet count monitoring; admit if warning signs</t>
        </is>
      </c>
      <c r="F146" s="14" t="inlineStr">
        <is>
          <t>Physician + Emergency Team</t>
        </is>
      </c>
      <c r="G146" s="14" t="inlineStr">
        <is>
          <t>Q12-24h labs</t>
        </is>
      </c>
      <c r="H146" s="14" t="inlineStr">
        <is>
          <t>Platelet &lt;100K + bleeding = grade 2 DHF: admit and transfuse. No aspirin/NSAIDs.</t>
        </is>
      </c>
      <c r="I146" s="14" t="inlineStr">
        <is>
          <t>Discharge criteria: fever-free 24h, platelets rising &gt;50K, no warning signs, adequate oral intake.</t>
        </is>
      </c>
    </row>
    <row r="147" ht="34.95" customHeight="1">
      <c r="A147" s="11" t="inlineStr">
        <is>
          <t>Diagnostics</t>
        </is>
      </c>
      <c r="B147" s="11" t="inlineStr">
        <is>
          <t>Typhoid Widal Test</t>
        </is>
      </c>
      <c r="C147" s="11" t="n">
        <v>1</v>
      </c>
      <c r="D147" s="11" t="inlineStr">
        <is>
          <t>Preparation + Timing</t>
        </is>
      </c>
      <c r="E147" s="11" t="inlineStr">
        <is>
          <t>No prep needed; best performed Day 7-14 of fever; single titre &gt;1:160 only suggestive (endemic area = high background)</t>
        </is>
      </c>
      <c r="F147" s="11" t="inlineStr">
        <is>
          <t>Clinician</t>
        </is>
      </c>
      <c r="G147" s="11" t="inlineStr">
        <is>
          <t>Day 7-14 of fever</t>
        </is>
      </c>
      <c r="H147" s="11" t="inlineStr">
        <is>
          <t>Widal unreliable in endemic areas (false positives); Typhidot IgM or blood culture preferred</t>
        </is>
      </c>
      <c r="I147" s="11" t="inlineStr">
        <is>
          <t>Two samples 2 weeks apart (4-fold rise) = more diagnostic than single titre.</t>
        </is>
      </c>
    </row>
    <row r="148" ht="34.95" customHeight="1">
      <c r="A148" s="14" t="inlineStr">
        <is>
          <t>Diagnostics</t>
        </is>
      </c>
      <c r="B148" s="14" t="inlineStr">
        <is>
          <t>Typhoid Widal Test</t>
        </is>
      </c>
      <c r="C148" s="14" t="n">
        <v>2</v>
      </c>
      <c r="D148" s="14" t="inlineStr">
        <is>
          <t>Blood Draw + Test</t>
        </is>
      </c>
      <c r="E148" s="14" t="inlineStr">
        <is>
          <t>Serum tube; tube agglutination with S. typhi O and H antigens; results in 2-4h</t>
        </is>
      </c>
      <c r="F148" s="14" t="inlineStr">
        <is>
          <t>Lab Tech</t>
        </is>
      </c>
      <c r="G148" s="14" t="inlineStr">
        <is>
          <t>Day of test</t>
        </is>
      </c>
      <c r="H148" s="14" t="inlineStr">
        <is>
          <t>S. typhi O titre &gt;1:160 + H titre &gt;1:160 = significant in non-endemic; &gt;1:320 in endemic areas</t>
        </is>
      </c>
      <c r="I148" s="14" t="inlineStr">
        <is>
          <t>Blood culture (Bone marrow culture gold standard) in first 7 days of fever = most diagnostic.</t>
        </is>
      </c>
    </row>
    <row r="149" ht="34.95" customHeight="1">
      <c r="A149" s="11" t="inlineStr">
        <is>
          <t>Diagnostics</t>
        </is>
      </c>
      <c r="B149" s="11" t="inlineStr">
        <is>
          <t>Typhoid Widal Test</t>
        </is>
      </c>
      <c r="C149" s="11" t="n">
        <v>3</v>
      </c>
      <c r="D149" s="11" t="inlineStr">
        <is>
          <t>Result Interpretation + Treatment</t>
        </is>
      </c>
      <c r="E149" s="11" t="inlineStr">
        <is>
          <t>High titre: start Ceftriaxone 2g IV daily x 14 days (or oral Azithromycin for uncomplicated typhoid)</t>
        </is>
      </c>
      <c r="F149" s="11" t="inlineStr">
        <is>
          <t>Physician</t>
        </is>
      </c>
      <c r="G149" s="11" t="inlineStr">
        <is>
          <t>OPD or admit</t>
        </is>
      </c>
      <c r="H149" s="11" t="inlineStr">
        <is>
          <t>Drug resistance: MDR typhoid (resistant to Ampicillin + Cotrimoxazole + Chloramphenicol) = Ceftriaxone/Azithromycin</t>
        </is>
      </c>
      <c r="I149" s="11" t="inlineStr">
        <is>
          <t>Typhidot IgM positive = acute typhoid (more reliable). Blood culture = gold standard.</t>
        </is>
      </c>
    </row>
    <row r="150" ht="34.95" customHeight="1">
      <c r="A150" s="14" t="inlineStr">
        <is>
          <t>Diagnostics</t>
        </is>
      </c>
      <c r="B150" s="14" t="inlineStr">
        <is>
          <t>Thyroid Profile (T3/T4/TSH)</t>
        </is>
      </c>
      <c r="C150" s="14" t="n">
        <v>1</v>
      </c>
      <c r="D150" s="14" t="inlineStr">
        <is>
          <t>Preparation + Timing</t>
        </is>
      </c>
      <c r="E150" s="14" t="inlineStr">
        <is>
          <t>Morning sample preferred (TSH diurnal variation, peaks AM); no fasting needed; stop Biotin 48h prior</t>
        </is>
      </c>
      <c r="F150" s="14" t="inlineStr">
        <is>
          <t>Clinician</t>
        </is>
      </c>
      <c r="G150" s="14" t="inlineStr">
        <is>
          <t>Day of test</t>
        </is>
      </c>
      <c r="H150" s="14" t="inlineStr">
        <is>
          <t>Drugs affecting TSH: steroids, dopamine lower TSH; lithium, amiodarone raise TSH</t>
        </is>
      </c>
      <c r="I150" s="14" t="inlineStr">
        <is>
          <t>Free T4 (FT4) more accurate than total T4 in pregnancy. Add Anti-TPO Ab if Hashimoto suspected.</t>
        </is>
      </c>
    </row>
    <row r="151" ht="34.95" customHeight="1">
      <c r="A151" s="11" t="inlineStr">
        <is>
          <t>Diagnostics</t>
        </is>
      </c>
      <c r="B151" s="11" t="inlineStr">
        <is>
          <t>Thyroid Profile (T3/T4/TSH)</t>
        </is>
      </c>
      <c r="C151" s="11" t="n">
        <v>2</v>
      </c>
      <c r="D151" s="11" t="inlineStr">
        <is>
          <t>Blood Draw + Analysis</t>
        </is>
      </c>
      <c r="E151" s="11" t="inlineStr">
        <is>
          <t>Serum tube; chemiluminescence immunoassay for TSH/FT4/FT3; Biotin interference if &gt;5mg/day supplement</t>
        </is>
      </c>
      <c r="F151" s="11" t="inlineStr">
        <is>
          <t>Phlebotomist + Lab Tech</t>
        </is>
      </c>
      <c r="G151" s="11" t="inlineStr">
        <is>
          <t>5-10 minutes</t>
        </is>
      </c>
      <c r="H151" s="11" t="inlineStr">
        <is>
          <t>TSH &lt;0.1: hyperthyroidism. TSH 0.1-0.4: subclinical hyperthyroid. TSH 4.5-10: subclinical hypothyroid. TSH &gt;10: overt hypothyroid.</t>
        </is>
      </c>
      <c r="I151" s="11" t="inlineStr">
        <is>
          <t>Sick euthyroid syndrome: TSH normal/low + low T3 = critical illness, not thyroid disease.</t>
        </is>
      </c>
    </row>
    <row r="152" ht="34.95" customHeight="1">
      <c r="A152" s="14" t="inlineStr">
        <is>
          <t>Diagnostics</t>
        </is>
      </c>
      <c r="B152" s="14" t="inlineStr">
        <is>
          <t>Thyroid Profile (T3/T4/TSH)</t>
        </is>
      </c>
      <c r="C152" s="14" t="n">
        <v>3</v>
      </c>
      <c r="D152" s="14" t="inlineStr">
        <is>
          <t>Result Interpretation + Action</t>
        </is>
      </c>
      <c r="E152" s="14" t="inlineStr">
        <is>
          <t>Overt hypothyroid (TSH &gt;10 + low FT4): start Levothyroxine 25-50 mcg; recheck in 6-8 weeks; titrate</t>
        </is>
      </c>
      <c r="F152" s="14" t="inlineStr">
        <is>
          <t>Endocrinologist + GP</t>
        </is>
      </c>
      <c r="G152" s="14" t="inlineStr">
        <is>
          <t>OPD</t>
        </is>
      </c>
      <c r="H152" s="14" t="inlineStr">
        <is>
          <t>Subclinical hypothyroid in pregnancy: treat if TSH &gt;2.5 mIU/L</t>
        </is>
      </c>
      <c r="I152" s="14" t="inlineStr">
        <is>
          <t>TSH target: 0.5-2.5 (most patients on Levothyroxine). Annual check once stable.</t>
        </is>
      </c>
    </row>
    <row r="153" ht="34.95" customHeight="1">
      <c r="A153" s="11" t="inlineStr">
        <is>
          <t>Diagnostics</t>
        </is>
      </c>
      <c r="B153" s="11" t="inlineStr">
        <is>
          <t>Chest X-Ray + Sputum for TB</t>
        </is>
      </c>
      <c r="C153" s="11" t="n">
        <v>1</v>
      </c>
      <c r="D153" s="11" t="inlineStr">
        <is>
          <t>Preparation + Sample Collection</t>
        </is>
      </c>
      <c r="E153" s="11" t="inlineStr">
        <is>
          <t>PA view CXR (remove all metal/jewellery); early morning sputum (deep cough on waking); 3 samples: spot-morning-spot</t>
        </is>
      </c>
      <c r="F153" s="11" t="inlineStr">
        <is>
          <t>Radiologist + Lab Tech + NTEP Nurse</t>
        </is>
      </c>
      <c r="G153" s="11" t="inlineStr">
        <is>
          <t>Day of test + next morning</t>
        </is>
      </c>
      <c r="H153" s="11" t="inlineStr">
        <is>
          <t>NTEP protocol: 2 sputum samples same day + 1 early morning for better yield</t>
        </is>
      </c>
      <c r="I153" s="11" t="inlineStr">
        <is>
          <t>Use sterile wide-mouth container. CXR: full inspiration, good quality PA view.</t>
        </is>
      </c>
    </row>
    <row r="154" ht="34.95" customHeight="1">
      <c r="A154" s="14" t="inlineStr">
        <is>
          <t>Diagnostics</t>
        </is>
      </c>
      <c r="B154" s="14" t="inlineStr">
        <is>
          <t>Chest X-Ray + Sputum for TB</t>
        </is>
      </c>
      <c r="C154" s="14" t="n">
        <v>2</v>
      </c>
      <c r="D154" s="14" t="inlineStr">
        <is>
          <t>CXR Interpretation + Sputum Analysis</t>
        </is>
      </c>
      <c r="E154" s="14" t="inlineStr">
        <is>
          <t>CXR: upper lobe cavity, infiltrate, nodule = TB suspect; Sputum: AFB smear (ZN stain) + CBNAAT (GeneXpert preferred)</t>
        </is>
      </c>
      <c r="F154" s="14" t="inlineStr">
        <is>
          <t>Radiologist + Pathologist</t>
        </is>
      </c>
      <c r="G154" s="14" t="inlineStr">
        <is>
          <t>CXR: same day; AFB smear: 4h; CBNAAT: 2-4h</t>
        </is>
      </c>
      <c r="H154" s="14" t="inlineStr">
        <is>
          <t>CBNAAT (GeneXpert MTB/RIF) = detect TB + rifampicin resistance in 2h (NTEP standard 2023)</t>
        </is>
      </c>
      <c r="I154" s="14" t="inlineStr">
        <is>
          <t>CXR alone cannot confirm TB. Need sputum bacteriology. Culture = gold standard (6-8 weeks).</t>
        </is>
      </c>
    </row>
    <row r="155" ht="34.95" customHeight="1">
      <c r="A155" s="11" t="inlineStr">
        <is>
          <t>Diagnostics</t>
        </is>
      </c>
      <c r="B155" s="11" t="inlineStr">
        <is>
          <t>Chest X-Ray + Sputum for TB</t>
        </is>
      </c>
      <c r="C155" s="11" t="n">
        <v>3</v>
      </c>
      <c r="D155" s="11" t="inlineStr">
        <is>
          <t>Action on Result</t>
        </is>
      </c>
      <c r="E155" s="11" t="inlineStr">
        <is>
          <t>CBNAAT positive: start NTEP Category 1 (RHZE) 2 months + RH 4 months; DS-TB = 6 months total; RIF-R = MDR protocol</t>
        </is>
      </c>
      <c r="F155" s="11" t="inlineStr">
        <is>
          <t>NTEP Medical Officer + Physician</t>
        </is>
      </c>
      <c r="G155" s="11" t="inlineStr">
        <is>
          <t>Day of result</t>
        </is>
      </c>
      <c r="H155" s="11" t="inlineStr">
        <is>
          <t>Mandatory notification to NTEP. Household contact screening. Free treatment under NTEP.</t>
        </is>
      </c>
      <c r="I155" s="11" t="inlineStr">
        <is>
          <t>Drug-sensitive TB: 6 months treatment (2HRZE + 4HR). Free drugs from DOTS centre.</t>
        </is>
      </c>
    </row>
    <row r="156" ht="34.95" customHeight="1">
      <c r="A156" s="14" t="inlineStr">
        <is>
          <t>Diagnostics</t>
        </is>
      </c>
      <c r="B156" s="14" t="inlineStr">
        <is>
          <t>ECG + Stress Test (TMT)</t>
        </is>
      </c>
      <c r="C156" s="14" t="n">
        <v>1</v>
      </c>
      <c r="D156" s="14" t="inlineStr">
        <is>
          <t>Preparation</t>
        </is>
      </c>
      <c r="E156" s="14" t="inlineStr">
        <is>
          <t>Light meal 2h prior; comfortable walking shoes; stop beta-blockers 24h if doctor advises; 12-lead resting ECG first</t>
        </is>
      </c>
      <c r="F156" s="14" t="inlineStr">
        <is>
          <t>Cardiologist + Technician</t>
        </is>
      </c>
      <c r="G156" s="14" t="inlineStr">
        <is>
          <t>Day of test</t>
        </is>
      </c>
      <c r="H156" s="14" t="inlineStr">
        <is>
          <t>Contraindications to TMT: acute MI &lt;48h, unstable angina, severe AS, uncontrolled HF, BP &gt;200/110</t>
        </is>
      </c>
      <c r="I156" s="14" t="inlineStr">
        <is>
          <t>Baseline resting ECG mandatory before stress test. LBBB on ECG = stress echo preferred over TMT.</t>
        </is>
      </c>
    </row>
    <row r="157" ht="34.95" customHeight="1">
      <c r="A157" s="11" t="inlineStr">
        <is>
          <t>Diagnostics</t>
        </is>
      </c>
      <c r="B157" s="11" t="inlineStr">
        <is>
          <t>ECG + Stress Test (TMT)</t>
        </is>
      </c>
      <c r="C157" s="11" t="n">
        <v>2</v>
      </c>
      <c r="D157" s="11" t="inlineStr">
        <is>
          <t>TMT Procedure</t>
        </is>
      </c>
      <c r="E157" s="11" t="inlineStr">
        <is>
          <t>Bruce protocol (3-min stages increasing speed/incline); target: 85% age-predicted max HR = 220-age x 0.85; continuous ECG monitoring</t>
        </is>
      </c>
      <c r="F157" s="11" t="inlineStr">
        <is>
          <t>Cardiologist + Technician</t>
        </is>
      </c>
      <c r="G157" s="11" t="inlineStr">
        <is>
          <t>20-30 minutes</t>
        </is>
      </c>
      <c r="H157" s="11" t="inlineStr">
        <is>
          <t>Positive TMT: ST depression &gt;1mm horizontal/downsloping at 0.08s from J-point; chest pain; hypotension with exercise</t>
        </is>
      </c>
      <c r="I157" s="11" t="inlineStr">
        <is>
          <t>Stop immediately: ST depression &gt;3mm, chest pain, BP drop, ventricular arrhythmia, dizziness.</t>
        </is>
      </c>
    </row>
    <row r="158" ht="34.95" customHeight="1">
      <c r="A158" s="14" t="inlineStr">
        <is>
          <t>Diagnostics</t>
        </is>
      </c>
      <c r="B158" s="14" t="inlineStr">
        <is>
          <t>ECG + Stress Test (TMT)</t>
        </is>
      </c>
      <c r="C158" s="14" t="n">
        <v>3</v>
      </c>
      <c r="D158" s="14" t="inlineStr">
        <is>
          <t>Result Interpretation + Action</t>
        </is>
      </c>
      <c r="E158" s="14" t="inlineStr">
        <is>
          <t>Positive TMT (Duke Treadmill Score &lt;-11 = high risk): coronary angiography. Negative (Duke &gt;+5 = low risk): annual follow-up</t>
        </is>
      </c>
      <c r="F158" s="14" t="inlineStr">
        <is>
          <t>Cardiologist</t>
        </is>
      </c>
      <c r="G158" s="14" t="inlineStr">
        <is>
          <t>OPD same day</t>
        </is>
      </c>
      <c r="H158" s="14" t="inlineStr">
        <is>
          <t>Duke Treadmill Score: exercise time (min) - 5x ST deviation (mm) - 4x angina index</t>
        </is>
      </c>
      <c r="I158" s="14" t="inlineStr">
        <is>
          <t>False positive TMT: women, LVH, digoxin, mitral valve prolapse. Stress echo more specific.</t>
        </is>
      </c>
    </row>
    <row r="159" ht="34.95" customHeight="1">
      <c r="A159" s="11" t="inlineStr">
        <is>
          <t>Diagnostics</t>
        </is>
      </c>
      <c r="B159" s="11" t="inlineStr">
        <is>
          <t>MRI Brain</t>
        </is>
      </c>
      <c r="C159" s="11" t="n">
        <v>1</v>
      </c>
      <c r="D159" s="11" t="inlineStr">
        <is>
          <t>Preparation + Safety Screening</t>
        </is>
      </c>
      <c r="E159" s="11" t="inlineStr">
        <is>
          <t>Remove all metal (jewellery, implants); screen for pacemaker/cochlear implant/aneurysm clips; check creatinine if contrast planned</t>
        </is>
      </c>
      <c r="F159" s="11" t="inlineStr">
        <is>
          <t>Radiologist + MRI Technician</t>
        </is>
      </c>
      <c r="G159" s="11" t="inlineStr">
        <is>
          <t>Before scan</t>
        </is>
      </c>
      <c r="H159" s="11" t="inlineStr">
        <is>
          <t>Pacemakers/CCDs (older generation): absolute contraindication to 1.5T/3T MRI (check model for MR-conditional devices)</t>
        </is>
      </c>
      <c r="I159" s="11" t="inlineStr">
        <is>
          <t>Gadolinium contrast: avoid if eGFR &lt;30; use with caution eGFR 30-60 (risk of NSF).</t>
        </is>
      </c>
    </row>
    <row r="160" ht="34.95" customHeight="1">
      <c r="A160" s="14" t="inlineStr">
        <is>
          <t>Diagnostics</t>
        </is>
      </c>
      <c r="B160" s="14" t="inlineStr">
        <is>
          <t>MRI Brain</t>
        </is>
      </c>
      <c r="C160" s="14" t="n">
        <v>2</v>
      </c>
      <c r="D160" s="14" t="inlineStr">
        <is>
          <t>MRI Acquisition</t>
        </is>
      </c>
      <c r="E160" s="14" t="inlineStr">
        <is>
          <t>Standard sequences: T1, T2, FLAIR, DWI, T1+Gad (if mass/infection); fMRI if eloquent cortex; SWI for bleed; 3T preferred for detail</t>
        </is>
      </c>
      <c r="F160" s="14" t="inlineStr">
        <is>
          <t>MRI Radiologist + Technician</t>
        </is>
      </c>
      <c r="G160" s="14" t="inlineStr">
        <is>
          <t>20-45 minutes</t>
        </is>
      </c>
      <c r="H160" s="14" t="inlineStr">
        <is>
          <t>Gadolinium (Gd): ring-enhancing lesion = tumour/abscess; leptomeningeal enhancement = meningitis/carcinomatosis</t>
        </is>
      </c>
      <c r="I160" s="14" t="inlineStr">
        <is>
          <t>Loud banging noise during scan: earplugs provided. Must remain absolutely still.</t>
        </is>
      </c>
    </row>
    <row r="161" ht="34.95" customHeight="1">
      <c r="A161" s="11" t="inlineStr">
        <is>
          <t>Diagnostics</t>
        </is>
      </c>
      <c r="B161" s="11" t="inlineStr">
        <is>
          <t>MRI Brain</t>
        </is>
      </c>
      <c r="C161" s="11" t="n">
        <v>3</v>
      </c>
      <c r="D161" s="11" t="inlineStr">
        <is>
          <t>Radiologist Report + Clinical Correlation</t>
        </is>
      </c>
      <c r="E161" s="11" t="inlineStr">
        <is>
          <t>Mass lesion: MDT referral. Stroke (DWI restriction): immediate neurology. Demyelination: MS protocol. Infection: neurosurgery if abscess</t>
        </is>
      </c>
      <c r="F161" s="11" t="inlineStr">
        <is>
          <t>Neuroradiologist + Neurologist/Neurosurgeon</t>
        </is>
      </c>
      <c r="G161" s="11" t="inlineStr">
        <is>
          <t>Same day (emergency); 24-48h (elective)</t>
        </is>
      </c>
      <c r="H161" s="11" t="inlineStr">
        <is>
          <t>DWI restriction = acute ischaemic stroke (within 6h = thrombolysis window); CT preferred for acute bleed</t>
        </is>
      </c>
      <c r="I161" s="11" t="inlineStr">
        <is>
          <t>MDT review for all brain tumours. MRI spectroscopy for tumour characterisation if needed.</t>
        </is>
      </c>
    </row>
    <row r="162" ht="34.95" customHeight="1">
      <c r="A162" s="14" t="inlineStr">
        <is>
          <t>Diagnostics</t>
        </is>
      </c>
      <c r="B162" s="14" t="inlineStr">
        <is>
          <t>CT Scan Abdomen</t>
        </is>
      </c>
      <c r="C162" s="14" t="n">
        <v>1</v>
      </c>
      <c r="D162" s="14" t="inlineStr">
        <is>
          <t>Preparation + Contrast Administration</t>
        </is>
      </c>
      <c r="E162" s="14" t="inlineStr">
        <is>
          <t>Fasting 4-6h for IV contrast; drink 1L oral contrast (dilute iodine solution) over 1h prior; check creatinine for IV contrast</t>
        </is>
      </c>
      <c r="F162" s="14" t="inlineStr">
        <is>
          <t>Radiologist + CT Technician</t>
        </is>
      </c>
      <c r="G162" s="14" t="inlineStr">
        <is>
          <t>1-2h before scan</t>
        </is>
      </c>
      <c r="H162" s="14" t="inlineStr">
        <is>
          <t>IV contrast contraindicated: creatinine &gt;1.5 mg/dL; metformin: hold 48h post-contrast; hyperthyroidism: use LOCM</t>
        </is>
      </c>
      <c r="I162" s="14" t="inlineStr">
        <is>
          <t>Allergic reaction to contrast: 1 in 200 (mild urticaria); severe 1 in 5000 (anaphylaxis); resuscitation trolley standby.</t>
        </is>
      </c>
    </row>
    <row r="163" ht="34.95" customHeight="1">
      <c r="A163" s="11" t="inlineStr">
        <is>
          <t>Diagnostics</t>
        </is>
      </c>
      <c r="B163" s="11" t="inlineStr">
        <is>
          <t>CT Scan Abdomen</t>
        </is>
      </c>
      <c r="C163" s="11" t="n">
        <v>2</v>
      </c>
      <c r="D163" s="11" t="inlineStr">
        <is>
          <t>CT Acquisition</t>
        </is>
      </c>
      <c r="E163" s="11" t="inlineStr">
        <is>
          <t>64-slice CT; oral + IV contrast (triphasic for liver); axial + coronal reconstruction; breath-hold instructions (10-15s)</t>
        </is>
      </c>
      <c r="F163" s="11" t="inlineStr">
        <is>
          <t>CT Radiologist + Technician</t>
        </is>
      </c>
      <c r="G163" s="11" t="inlineStr">
        <is>
          <t>10-15 minutes scan time</t>
        </is>
      </c>
      <c r="H163" s="11" t="inlineStr">
        <is>
          <t>Triphasic liver CT: non-contrast + arterial + portal phase = best for HCC/metastases detection</t>
        </is>
      </c>
      <c r="I163" s="11" t="inlineStr">
        <is>
          <t>Radiation dose: ~10 mSv (equivalent to 3-5 years background radiation). Minimise repeat CTs.</t>
        </is>
      </c>
    </row>
    <row r="164" ht="34.95" customHeight="1">
      <c r="A164" s="14" t="inlineStr">
        <is>
          <t>Diagnostics</t>
        </is>
      </c>
      <c r="B164" s="14" t="inlineStr">
        <is>
          <t>CT Scan Abdomen</t>
        </is>
      </c>
      <c r="C164" s="14" t="n">
        <v>3</v>
      </c>
      <c r="D164" s="14" t="inlineStr">
        <is>
          <t>Report + Clinical Action</t>
        </is>
      </c>
      <c r="E164" s="14" t="inlineStr">
        <is>
          <t>Free fluid (ascites/bleed), mass, bowel obstruction, organ injury: graded reporting; urgent call to clinician if critical finding</t>
        </is>
      </c>
      <c r="F164" s="14" t="inlineStr">
        <is>
          <t>Radiologist + Gastroenterologist/Surgeon</t>
        </is>
      </c>
      <c r="G164" s="14" t="inlineStr">
        <is>
          <t>Same day (emergency); 24-48h (elective)</t>
        </is>
      </c>
      <c r="H164" s="14" t="inlineStr">
        <is>
          <t>CT KUB: renal/ureteric stone detection (sensitivity 97%); avoid contrast for stone CT</t>
        </is>
      </c>
      <c r="I164" s="14" t="inlineStr">
        <is>
          <t>Drink 1-2L water post-scan to flush IV contrast and protect kidneys. Report within 1h for emergency.</t>
        </is>
      </c>
    </row>
    <row r="165" ht="34.95" customHeight="1">
      <c r="A165" s="11" t="inlineStr">
        <is>
          <t>Diagnostics</t>
        </is>
      </c>
      <c r="B165" s="11" t="inlineStr">
        <is>
          <t>Echocardiography (2D Echo)</t>
        </is>
      </c>
      <c r="C165" s="11" t="n">
        <v>1</v>
      </c>
      <c r="D165" s="11" t="inlineStr">
        <is>
          <t>Preparation</t>
        </is>
      </c>
      <c r="E165" s="11" t="inlineStr">
        <is>
          <t>No preparation required; patient supine with left lateral tilt; ECG leads attached for gating; ultrasound gel applied</t>
        </is>
      </c>
      <c r="F165" s="11" t="inlineStr">
        <is>
          <t>Cardiologist + Echo Technician</t>
        </is>
      </c>
      <c r="G165" s="11" t="inlineStr">
        <is>
          <t>Day of test</t>
        </is>
      </c>
      <c r="H165" s="11" t="inlineStr">
        <is>
          <t>Dobutamine stress echo required if: poor TMT, baseline ECG changes, LBBB, pre-operative high-risk surgery assessment</t>
        </is>
      </c>
      <c r="I165" s="11" t="inlineStr">
        <is>
          <t>Portable echo available at bedside for ICU/unstable patients. No radiation exposure.</t>
        </is>
      </c>
    </row>
    <row r="166" ht="34.95" customHeight="1">
      <c r="A166" s="14" t="inlineStr">
        <is>
          <t>Diagnostics</t>
        </is>
      </c>
      <c r="B166" s="14" t="inlineStr">
        <is>
          <t>Echocardiography (2D Echo)</t>
        </is>
      </c>
      <c r="C166" s="14" t="n">
        <v>2</v>
      </c>
      <c r="D166" s="14" t="inlineStr">
        <is>
          <t>Echo Acquisition</t>
        </is>
      </c>
      <c r="E166" s="14" t="inlineStr">
        <is>
          <t>2D + M-mode + Doppler (continuous/pulsed/tissue Doppler); assess: EF (Biplane Simpson), wall motion, valves, RVSP, pericardium, LV diastology</t>
        </is>
      </c>
      <c r="F166" s="14" t="inlineStr">
        <is>
          <t>Cardiologist</t>
        </is>
      </c>
      <c r="G166" s="14" t="inlineStr">
        <is>
          <t>15-20 minutes</t>
        </is>
      </c>
      <c r="H166" s="14" t="inlineStr">
        <is>
          <t>EF &lt;35%: severe LV dysfunction; EF 35-50%: moderate; EF &gt;50%: normal. Refer for cardiac MRI if poor echo window.</t>
        </is>
      </c>
      <c r="I166" s="14" t="inlineStr">
        <is>
          <t>3D echo for complex valve disease and pre-TAVI planning. Contrast echo for LV thrombus.</t>
        </is>
      </c>
    </row>
    <row r="167" ht="34.95" customHeight="1">
      <c r="A167" s="11" t="inlineStr">
        <is>
          <t>Diagnostics</t>
        </is>
      </c>
      <c r="B167" s="11" t="inlineStr">
        <is>
          <t>Echocardiography (2D Echo)</t>
        </is>
      </c>
      <c r="C167" s="11" t="n">
        <v>3</v>
      </c>
      <c r="D167" s="11" t="inlineStr">
        <is>
          <t>Report + Clinical Action</t>
        </is>
      </c>
      <c r="E167" s="11" t="inlineStr">
        <is>
          <t>EF&lt;35% + HF symptoms = refer cardiologist for GDMT (beta-blocker + ACEI + MRA + SGLT2i); valve disease = heart team decision</t>
        </is>
      </c>
      <c r="F167" s="11" t="inlineStr">
        <is>
          <t>Cardiologist + Heart Team</t>
        </is>
      </c>
      <c r="G167" s="11" t="inlineStr">
        <is>
          <t>OPD or urgent</t>
        </is>
      </c>
      <c r="H167" s="11" t="inlineStr">
        <is>
          <t>Severe AS: AVA &lt;1 cm²; Severe MR: EROA &gt;0.4 cm²; both = valve team review for intervention</t>
        </is>
      </c>
      <c r="I167" s="11" t="inlineStr">
        <is>
          <t>Annual echo surveillance for moderate valve disease. Serial echo q3 cycles if cardiotoxic chemo.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2026-04-16T14:56:39Z</dcterms:created>
  <dcterms:modified xmlns:dcterms="http://purl.org/dc/terms/" xmlns:xsi="http://www.w3.org/2001/XMLSchema-instance" xsi:type="dcterms:W3CDTF">2026-05-03T15:06:33Z</dcterms:modified>
  <cp:lastModifiedBy>VAIDIK MANE</cp:lastModifiedBy>
</cp:coreProperties>
</file>